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тест 18.09" sheetId="1" state="visible" r:id="rId3"/>
    <sheet name="Цифры до и после" sheetId="2" state="visible" r:id="rId4"/>
  </sheets>
  <definedNames>
    <definedName function="false" hidden="true" localSheetId="0" name="_xlnm._FilterDatabase" vbProcedure="false">'Ретест 18.09'!$A$1:$J$31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<sst xmlns="http://schemas.openxmlformats.org/spreadsheetml/2006/main" count="255" uniqueCount="158">
  <si>
    <t xml:space="preserve">ID</t>
  </si>
  <si>
    <t xml:space="preserve">Статус 18.09</t>
  </si>
  <si>
    <t xml:space="preserve">Что показал ретест</t>
  </si>
  <si>
    <t xml:space="preserve">Приоритет</t>
  </si>
  <si>
    <t xml:space="preserve">Область</t>
  </si>
  <si>
    <t xml:space="preserve">Проблема</t>
  </si>
  <si>
    <t xml:space="preserve">Осталось, ч</t>
  </si>
  <si>
    <t xml:space="preserve">Ваш статус</t>
  </si>
  <si>
    <t xml:space="preserve">Исполнитель</t>
  </si>
  <si>
    <t xml:space="preserve">Комментарий</t>
  </si>
  <si>
    <t xml:space="preserve">SEO-03</t>
  </si>
  <si>
    <t xml:space="preserve">НОВОЕ</t>
  </si>
  <si>
    <t xml:space="preserve">Новая находка ретеста 18.09 — побочный эффект добавленного prerender.</t>
  </si>
  <si>
    <t xml:space="preserve">Критично</t>
  </si>
  <si>
    <t xml:space="preserve">SEO</t>
  </si>
  <si>
    <t xml:space="preserve">После гидрации на странице оказывается два canonical и шесть hreflang</t>
  </si>
  <si>
    <t xml:space="preserve">Не начато</t>
  </si>
  <si>
    <t xml:space="preserve">A11Y-05</t>
  </si>
  <si>
    <t xml:space="preserve">Не тронуто</t>
  </si>
  <si>
    <t xml:space="preserve">10 px у «Направление», 11 px у eyebrow, тегов и счётчиков — без изменений.</t>
  </si>
  <si>
    <t xml:space="preserve">Средне</t>
  </si>
  <si>
    <t xml:space="preserve">Мобайл</t>
  </si>
  <si>
    <t xml:space="preserve">Текст 10–11 px в подписях, счётчиках и тегах</t>
  </si>
  <si>
    <t xml:space="preserve">FRM-01</t>
  </si>
  <si>
    <t xml:space="preserve">consent.required = false, при снятой галочке поле валидно.</t>
  </si>
  <si>
    <t xml:space="preserve">Формы</t>
  </si>
  <si>
    <t xml:space="preserve">Согласие на обработку данных не обязательно на уровне формы</t>
  </si>
  <si>
    <t xml:space="preserve">FRM-02</t>
  </si>
  <si>
    <t xml:space="preserve">phone.value = «abc» → checkValidity() = true. pattern не добавлен.</t>
  </si>
  <si>
    <t xml:space="preserve">Поле телефона принимает «abc»</t>
  </si>
  <si>
    <t xml:space="preserve">I18N-01</t>
  </si>
  <si>
    <t xml:space="preserve">Переключатель по-прежнему RU/EN, hreflang только ru/en, x-default ведёт на /ru.</t>
  </si>
  <si>
    <t xml:space="preserve">Локали</t>
  </si>
  <si>
    <t xml:space="preserve">Турецкой версии нет, хотя код к ней готов</t>
  </si>
  <si>
    <t xml:space="preserve">UX-02</t>
  </si>
  <si>
    <t xml:space="preserve">После прохождения всех девяти шагов localStorage по-прежнему пуст.</t>
  </si>
  <si>
    <t xml:space="preserve">Важно</t>
  </si>
  <si>
    <t xml:space="preserve">Конверсия</t>
  </si>
  <si>
    <t xml:space="preserve">Прогресс сборщика теряется при перезагрузке</t>
  </si>
  <si>
    <t xml:space="preserve">UX-06</t>
  </si>
  <si>
    <t xml:space="preserve">В цепочке предков блока «Ваш тур» по-прежнему ни одного sticky.</t>
  </si>
  <si>
    <t xml:space="preserve">Сводка «Ваш тур» уезжает вместе со страницей</t>
  </si>
  <si>
    <t xml:space="preserve">A11Y-02</t>
  </si>
  <si>
    <t xml:space="preserve">Частично</t>
  </si>
  <si>
    <t xml:space="preserve">Кнопка паузы 44×44, чекбокс обёрнут в label 269×61, точки слайдов выросли с 11 до 31 px. Осталось: ссылка логотипа 57×36 и ссылки подвала высотой 18 px.</t>
  </si>
  <si>
    <t xml:space="preserve">Тач-таргеты меньше 40 px в шести местах</t>
  </si>
  <si>
    <t xml:space="preserve">A11Y-03</t>
  </si>
  <si>
    <t xml:space="preserve">body получает overflow: hidden, панель объявлена role="dialog" + aria-modal. Выпадашка языка всё ещё остаётся с aria-expanded="true" под открытым меню.</t>
  </si>
  <si>
    <t xml:space="preserve">Бургер-меню не блокирует скролл и не объявлено модальным</t>
  </si>
  <si>
    <t xml:space="preserve">A11Y-06</t>
  </si>
  <si>
    <t xml:space="preserve">Skip-link «Перейти к содержимому» появился, шапка стала . 8 секций из 9 по-прежнему без aria-label.</t>
  </si>
  <si>
    <t xml:space="preserve">Семантика</t>
  </si>
  <si>
    <t xml:space="preserve">Нет skip-link, нет landmark header, восемь секций без имени</t>
  </si>
  <si>
    <t xml:space="preserve">CNT-02</t>
  </si>
  <si>
    <t xml:space="preserve">«Видео» и «Отзывы» убраны из шапки и подвала — ссылок в пустоту больше нет. Сами страницы по прямому адресу всё ещё показывают 0 из 0.</t>
  </si>
  <si>
    <t xml:space="preserve">Контент</t>
  </si>
  <si>
    <t xml:space="preserve">Два пункта главного меню ведут в пустые разделы</t>
  </si>
  <si>
    <t xml:space="preserve">CNT-04</t>
  </si>
  <si>
    <t xml:space="preserve">Счётчик «· 1» из кнопки убран. Маршрут в каталоге всё ещё один.</t>
  </si>
  <si>
    <t xml:space="preserve">«Популярные туры» — один тур</t>
  </si>
  <si>
    <t xml:space="preserve">IA-01</t>
  </si>
  <si>
    <t xml:space="preserve">Главная похудела: 14 857 → 12 600 px на мобильном, 8 981 → 7 786 на десктопе. Но сборщик всё ещё встроен целиком — «Куда хотите поехать?» и «Ваш тур» на месте.</t>
  </si>
  <si>
    <t xml:space="preserve">Структура</t>
  </si>
  <si>
    <t xml:space="preserve">Главная длиной 14 857 px на мобильном: весь сборщик встроен в неё</t>
  </si>
  <si>
    <t xml:space="preserve">SEO-01</t>
  </si>
  <si>
    <t xml:space="preserve">В серверном HTML появились заголовок, описание и список городов. Программы по дням и цены там по-прежнему нет.</t>
  </si>
  <si>
    <t xml:space="preserve">В HTML нет контента — только мета-теги</t>
  </si>
  <si>
    <t xml:space="preserve">UI-05</t>
  </si>
  <si>
    <t xml:space="preserve">Карточки выросли с ~90 до 139 px, «Мары / Мерв» стало 2 строки вместо 3. Высоты всё ещё рваные: 166 px против 118 у соседей.</t>
  </si>
  <si>
    <t xml:space="preserve">Вёрстка</t>
  </si>
  <si>
    <t xml:space="preserve">Карточки городов в сборщике рвутся на три строки</t>
  </si>
  <si>
    <t xml:space="preserve">UX-01</t>
  </si>
  <si>
    <t xml:space="preserve">На десктопе появился sticky aside с ценой «от 830 $». Но шапка осталась position: relative и уезжает, а на мобильном фиксированной панели брони нет — только полоска прогресса 2 px.</t>
  </si>
  <si>
    <t xml:space="preserve">На странице тура первый CTA — после 3200 px скролла, шапка не липкая</t>
  </si>
  <si>
    <t xml:space="preserve">UX-04</t>
  </si>
  <si>
    <t xml:space="preserve">Поля выросли со 142 до 224 px, «Как к вам обращаться» теперь помещается. E-mail всё ещё нет: подсказке нужно 220 px, доступно 190.</t>
  </si>
  <si>
    <t xml:space="preserve">Placeholder обрезаются в форме заявки</t>
  </si>
  <si>
    <t xml:space="preserve">A11Y-01</t>
  </si>
  <si>
    <t xml:space="preserve">Закрыто</t>
  </si>
  <si>
    <t xml:space="preserve">Добавлен токен --c-focus #8A5A22, :focus-visible берёт его: 5.47:1 вместо 2.09:1. Заодно потемнели --c-accent-text (4.51→4.97) и --c-muted (4.54→4.96).</t>
  </si>
  <si>
    <t xml:space="preserve">WCAG</t>
  </si>
  <si>
    <t xml:space="preserve">Цвет фокуса не проходит по контрасту на светлом фоне</t>
  </si>
  <si>
    <t xml:space="preserve">Готово</t>
  </si>
  <si>
    <t xml:space="preserve">A11Y-04</t>
  </si>
  <si>
    <t xml:space="preserve">У кнопок выбора появился aria-pressed, у нажатой — true.</t>
  </si>
  <si>
    <t xml:space="preserve">Кнопки выбора в сборщике не сообщают о выбранном состоянии</t>
  </si>
  <si>
    <t xml:space="preserve">CNT-01</t>
  </si>
  <si>
    <t xml:space="preserve">Плейсхолдеров в DOM ноль, битых картинок ноль, на /ru/articles 11 изображений.</t>
  </si>
  <si>
    <t xml:space="preserve">На главной вместо обложки статьи — служебный плейсхолдер</t>
  </si>
  <si>
    <t xml:space="preserve">CNT-03</t>
  </si>
  <si>
    <t xml:space="preserve">Шаг 02 переписан: было «Видите цену сразу», стало «Проверяете сводку». Обещания, которое не выполнялось, больше нет.</t>
  </si>
  <si>
    <t xml:space="preserve">Доверие</t>
  </si>
  <si>
    <t xml:space="preserve">Сборщик обещает цену сразу и не показывает её</t>
  </si>
  <si>
    <t xml:space="preserve">PERF-01</t>
  </si>
  <si>
    <t xml:space="preserve">Дублей ноль. У preload появился imagesrcset, он совпадает со srcset картинки. Вес главной 2578 → 1314 КБ, FCP 1132 → 148 мс.</t>
  </si>
  <si>
    <t xml:space="preserve">Скорость</t>
  </si>
  <si>
    <t xml:space="preserve">LCP-картинка скачивается дважды в разных размерах</t>
  </si>
  <si>
    <t xml:space="preserve">PERF-02</t>
  </si>
  <si>
    <t xml:space="preserve">19 чанков вместо одного, главный бандл 165 → 101 КБ. На /ru/builder грузится 16 ресурсов против 29 на главной раньше.</t>
  </si>
  <si>
    <t xml:space="preserve">Весь сайт в одном JS-чанке, без разделения по маршрутам</t>
  </si>
  <si>
    <t xml:space="preserve">SEO-02</t>
  </si>
  <si>
    <t xml:space="preserve">Тур → TouristTrip, отель → Hotel, статья → Article, везде BreadcrumbList.</t>
  </si>
  <si>
    <t xml:space="preserve">Микроразметка описывает агентство, но не то, что продаётся</t>
  </si>
  <si>
    <t xml:space="preserve">UI-01</t>
  </si>
  <si>
    <t xml:space="preserve">Логотип 57×36 на всех ширинах от 980 до 1920. Проверено заново по 11 точкам.</t>
  </si>
  <si>
    <t xml:space="preserve">Логотип схлопывается до нуля на ширинах 1024–1180 px</t>
  </si>
  <si>
    <t xml:space="preserve">UI-02</t>
  </si>
  <si>
    <t xml:space="preserve">Переносов нет нигде: на 1240 ещё десктопное меню в одну строку, с 1200 — бургер.</t>
  </si>
  <si>
    <t xml:space="preserve">Пункты меню переносятся на две строки от 1240 px и ниже</t>
  </si>
  <si>
    <t xml:space="preserve">UI-03</t>
  </si>
  <si>
    <t xml:space="preserve">Появился слой bg-scrim-hero: linear-gradient(to top, rgba(38,27,18,.94), .5 на 46%). На светлом слайде с Ашхабадом текст читается.</t>
  </si>
  <si>
    <t xml:space="preserve">Контраст</t>
  </si>
  <si>
    <t xml:space="preserve">Под текстом hero нет затемнения — читаемость зависит от кадра</t>
  </si>
  <si>
    <t xml:space="preserve">UI-04</t>
  </si>
  <si>
    <t xml:space="preserve">Пересечения с h1 нет ни на 1024, ни на 1263 px. Высота строки выросла с 11 до 31 px.</t>
  </si>
  <si>
    <t xml:space="preserve">Навигация слайдов заходит в область заголовка на 1024 px</t>
  </si>
  <si>
    <t xml:space="preserve">UX-03</t>
  </si>
  <si>
    <t xml:space="preserve">Счётчик стал «Ответов: 1 из 8» — девятый шаг это заявка, а не ответ. В сводке «Ночей —» и «Человек —» вместо фантомных 6 и 2.</t>
  </si>
  <si>
    <t xml:space="preserve">Логика</t>
  </si>
  <si>
    <t xml:space="preserve">«Заполнено 1 из 8» при девяти шагах и «6 ночей», которых никто не выбирал</t>
  </si>
  <si>
    <t xml:space="preserve">UX-05</t>
  </si>
  <si>
    <t xml:space="preserve">На 768 и 820 px селекты раскладываются на всю ширину (639 и 691 px). На 1024 — 197 px, текст целиком.</t>
  </si>
  <si>
    <t xml:space="preserve">Адаптив</t>
  </si>
  <si>
    <t xml:space="preserve">На планшете 768 px селекты поиска показывают «Не важ»</t>
  </si>
  <si>
    <t xml:space="preserve">Осталось часов</t>
  </si>
  <si>
    <t xml:space="preserve">Закрыто ретестом</t>
  </si>
  <si>
    <t xml:space="preserve">Осталось находок</t>
  </si>
  <si>
    <t xml:space="preserve">Метрика</t>
  </si>
  <si>
    <t xml:space="preserve">14 сентября</t>
  </si>
  <si>
    <t xml:space="preserve">18 сентября</t>
  </si>
  <si>
    <t xml:space="preserve">Вес главной, КБ</t>
  </si>
  <si>
    <t xml:space="preserve">−49%</t>
  </si>
  <si>
    <t xml:space="preserve">Картинки на главной, КБ</t>
  </si>
  <si>
    <t xml:space="preserve">−52%</t>
  </si>
  <si>
    <t xml:space="preserve">Главный JS-чанк, КБ</t>
  </si>
  <si>
    <t xml:space="preserve">плюс 18 отдельных чанков</t>
  </si>
  <si>
    <t xml:space="preserve">JS-чанков</t>
  </si>
  <si>
    <t xml:space="preserve">code-splitting по маршрутам</t>
  </si>
  <si>
    <t xml:space="preserve">First Contentful Paint, мс</t>
  </si>
  <si>
    <t xml:space="preserve">появился prerender</t>
  </si>
  <si>
    <t xml:space="preserve">Дублей «файл в двух размерах»</t>
  </si>
  <si>
    <t xml:space="preserve">preload получил imagesrcset</t>
  </si>
  <si>
    <t xml:space="preserve">Высота главной (мобильный), px</t>
  </si>
  <si>
    <t xml:space="preserve">сборщик всё ещё встроен</t>
  </si>
  <si>
    <t xml:space="preserve">Высота страницы тура (мобильный), px</t>
  </si>
  <si>
    <t xml:space="preserve">первый CTA с 3200 на 1443 px</t>
  </si>
  <si>
    <t xml:space="preserve">Логотип на 1024 px</t>
  </si>
  <si>
    <t xml:space="preserve">был невидим</t>
  </si>
  <si>
    <t xml:space="preserve">Контраст фокуса на светлом</t>
  </si>
  <si>
    <t xml:space="preserve">2.09:1</t>
  </si>
  <si>
    <t xml:space="preserve">5.47:1</t>
  </si>
  <si>
    <t xml:space="preserve">новый токен --c-focus</t>
  </si>
  <si>
    <t xml:space="preserve">canonical в DOM</t>
  </si>
  <si>
    <t xml:space="preserve">новая регрессия SEO-03</t>
  </si>
  <si>
    <t xml:space="preserve">hreflang в DOM</t>
  </si>
  <si>
    <t xml:space="preserve">та же причина</t>
  </si>
  <si>
    <t xml:space="preserve">Тач-таргетов меньше 40 px на главной</t>
  </si>
  <si>
    <t xml:space="preserve">осталось: логотип и ссылки подвала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</si>
</sst>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A4232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F4A5C"/>
      <name val="Arial"/>
      <family val="0"/>
      <charset val="1"/>
    </font>
    <font>
      <b val="true"/>
      <sz val="10"/>
      <color rgb="FF8A5300"/>
      <name val="Arial"/>
      <family val="0"/>
      <charset val="1"/>
    </font>
    <font>
      <b val="true"/>
      <sz val="10"/>
      <color rgb="FF156B4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5181E"/>
        <bgColor rgb="FF000000"/>
      </patternFill>
    </fill>
    <fill>
      <patternFill patternType="solid">
        <fgColor rgb="FFFBE9E9"/>
        <bgColor rgb="FFFBF1E0"/>
      </patternFill>
    </fill>
    <fill>
      <patternFill patternType="solid">
        <fgColor rgb="FFEFF1F4"/>
        <bgColor rgb="FFE2F1EB"/>
      </patternFill>
    </fill>
    <fill>
      <patternFill patternType="solid">
        <fgColor rgb="FFFBF1E0"/>
        <bgColor rgb="FFFBE9E9"/>
      </patternFill>
    </fill>
    <fill>
      <patternFill patternType="solid">
        <fgColor rgb="FFE2F1EB"/>
        <bgColor rgb="FFEF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A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518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1EB"/>
          <bgColor rgb="FF000000"/>
        </patternFill>
      </fill>
    </dxf>
    <dxf>
      <fill>
        <patternFill patternType="solid">
          <fgColor rgb="FFEFF1F4"/>
          <bgColor rgb="FF000000"/>
        </patternFill>
      </fill>
    </dxf>
    <dxf>
      <fill>
        <patternFill patternType="solid">
          <fgColor rgb="FFFBE9E9"/>
          <bgColor rgb="FF000000"/>
        </patternFill>
      </fill>
    </dxf>
    <dxf>
      <fill>
        <patternFill patternType="solid">
          <fgColor rgb="FFFBF1E0"/>
          <bgColor rgb="FF000000"/>
        </patternFill>
      </fill>
    </dxf>
    <dxf>
      <fill>
        <patternFill patternType="solid">
          <fgColor rgb="FF156B4F"/>
          <bgColor rgb="FF000000"/>
        </patternFill>
      </fill>
    </dxf>
    <dxf>
      <fill>
        <patternFill patternType="solid">
          <fgColor rgb="FF3F4A5C"/>
          <bgColor rgb="FF000000"/>
        </patternFill>
      </fill>
    </dxf>
    <dxf>
      <fill>
        <patternFill patternType="solid">
          <fgColor rgb="FF8A5300"/>
          <bgColor rgb="FF000000"/>
        </patternFill>
      </fill>
    </dxf>
    <dxf>
      <fill>
        <patternFill patternType="solid">
          <fgColor rgb="FFA423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300"/>
      <rgbColor rgb="FF800080"/>
      <rgbColor rgb="FF156B4F"/>
      <rgbColor rgb="FFC0C0C0"/>
      <rgbColor rgb="FF808080"/>
      <rgbColor rgb="FF9999FF"/>
      <rgbColor rgb="FF993366"/>
      <rgbColor rgb="FFFBF1E0"/>
      <rgbColor rgb="FFE2F1EB"/>
      <rgbColor rgb="FF660066"/>
      <rgbColor rgb="FFFF8080"/>
      <rgbColor rgb="FF0066CC"/>
      <rgbColor rgb="FFD5DA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1F4"/>
      <rgbColor rgb="FFCCFFCC"/>
      <rgbColor rgb="FFFB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81E"/>
      <rgbColor rgb="FF333300"/>
      <rgbColor rgb="FFA4232A"/>
      <rgbColor rgb="FF993366"/>
      <rgbColor rgb="FF333399"/>
      <rgbColor rgb="FF3F4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48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3" t="s">
        <v>11</v>
      </c>
      <c r="C2" s="4" t="s">
        <v>12</v>
      </c>
      <c r="D2" s="5" t="s">
        <v>13</v>
      </c>
      <c r="E2" s="5" t="s">
        <v>14</v>
      </c>
      <c r="F2" s="4" t="s">
        <v>15</v>
      </c>
      <c r="G2" s="6" t="n">
        <v>0.25</v>
      </c>
      <c r="H2" s="5" t="s">
        <v>16</v>
      </c>
      <c r="I2" s="5"/>
      <c r="J2" s="4"/>
    </row>
    <row r="3" customFormat="false" ht="23.85" hidden="false" customHeight="false" outlineLevel="0" collapsed="false">
      <c r="A3" s="2" t="s">
        <v>17</v>
      </c>
      <c r="B3" s="7" t="s">
        <v>18</v>
      </c>
      <c r="C3" s="4" t="s">
        <v>19</v>
      </c>
      <c r="D3" s="5" t="s">
        <v>20</v>
      </c>
      <c r="E3" s="5" t="s">
        <v>21</v>
      </c>
      <c r="F3" s="4" t="s">
        <v>22</v>
      </c>
      <c r="G3" s="6" t="n">
        <v>1</v>
      </c>
      <c r="H3" s="5" t="s">
        <v>16</v>
      </c>
      <c r="I3" s="5"/>
      <c r="J3" s="4"/>
    </row>
    <row r="4" customFormat="false" ht="23.85" hidden="false" customHeight="false" outlineLevel="0" collapsed="false">
      <c r="A4" s="2" t="s">
        <v>23</v>
      </c>
      <c r="B4" s="7" t="s">
        <v>18</v>
      </c>
      <c r="C4" s="4" t="s">
        <v>24</v>
      </c>
      <c r="D4" s="5" t="s">
        <v>20</v>
      </c>
      <c r="E4" s="5" t="s">
        <v>25</v>
      </c>
      <c r="F4" s="4" t="s">
        <v>26</v>
      </c>
      <c r="G4" s="6" t="n">
        <v>0.5</v>
      </c>
      <c r="H4" s="5" t="s">
        <v>16</v>
      </c>
      <c r="I4" s="5"/>
      <c r="J4" s="4"/>
    </row>
    <row r="5" customFormat="false" ht="15" hidden="false" customHeight="false" outlineLevel="0" collapsed="false">
      <c r="A5" s="2" t="s">
        <v>27</v>
      </c>
      <c r="B5" s="7" t="s">
        <v>18</v>
      </c>
      <c r="C5" s="4" t="s">
        <v>28</v>
      </c>
      <c r="D5" s="5" t="s">
        <v>20</v>
      </c>
      <c r="E5" s="5" t="s">
        <v>25</v>
      </c>
      <c r="F5" s="4" t="s">
        <v>29</v>
      </c>
      <c r="G5" s="6" t="n">
        <v>0.5</v>
      </c>
      <c r="H5" s="5" t="s">
        <v>16</v>
      </c>
      <c r="I5" s="5"/>
      <c r="J5" s="4"/>
    </row>
    <row r="6" customFormat="false" ht="23.85" hidden="false" customHeight="false" outlineLevel="0" collapsed="false">
      <c r="A6" s="2" t="s">
        <v>30</v>
      </c>
      <c r="B6" s="7" t="s">
        <v>18</v>
      </c>
      <c r="C6" s="4" t="s">
        <v>31</v>
      </c>
      <c r="D6" s="5" t="s">
        <v>20</v>
      </c>
      <c r="E6" s="5" t="s">
        <v>32</v>
      </c>
      <c r="F6" s="4" t="s">
        <v>33</v>
      </c>
      <c r="G6" s="6" t="n">
        <v>16</v>
      </c>
      <c r="H6" s="5" t="s">
        <v>16</v>
      </c>
      <c r="I6" s="5"/>
      <c r="J6" s="4"/>
    </row>
    <row r="7" customFormat="false" ht="23.85" hidden="false" customHeight="false" outlineLevel="0" collapsed="false">
      <c r="A7" s="2" t="s">
        <v>34</v>
      </c>
      <c r="B7" s="7" t="s">
        <v>18</v>
      </c>
      <c r="C7" s="4" t="s">
        <v>35</v>
      </c>
      <c r="D7" s="5" t="s">
        <v>36</v>
      </c>
      <c r="E7" s="5" t="s">
        <v>37</v>
      </c>
      <c r="F7" s="4" t="s">
        <v>38</v>
      </c>
      <c r="G7" s="6" t="n">
        <v>2</v>
      </c>
      <c r="H7" s="5" t="s">
        <v>16</v>
      </c>
      <c r="I7" s="5"/>
      <c r="J7" s="4"/>
    </row>
    <row r="8" customFormat="false" ht="23.85" hidden="false" customHeight="false" outlineLevel="0" collapsed="false">
      <c r="A8" s="2" t="s">
        <v>39</v>
      </c>
      <c r="B8" s="7" t="s">
        <v>18</v>
      </c>
      <c r="C8" s="4" t="s">
        <v>40</v>
      </c>
      <c r="D8" s="5" t="s">
        <v>36</v>
      </c>
      <c r="E8" s="5" t="s">
        <v>37</v>
      </c>
      <c r="F8" s="4" t="s">
        <v>41</v>
      </c>
      <c r="G8" s="6" t="n">
        <v>1</v>
      </c>
      <c r="H8" s="5" t="s">
        <v>16</v>
      </c>
      <c r="I8" s="5"/>
      <c r="J8" s="4"/>
    </row>
    <row r="9" customFormat="false" ht="35.05" hidden="false" customHeight="false" outlineLevel="0" collapsed="false">
      <c r="A9" s="2" t="s">
        <v>42</v>
      </c>
      <c r="B9" s="8" t="s">
        <v>43</v>
      </c>
      <c r="C9" s="4" t="s">
        <v>44</v>
      </c>
      <c r="D9" s="5" t="s">
        <v>36</v>
      </c>
      <c r="E9" s="5" t="s">
        <v>21</v>
      </c>
      <c r="F9" s="4" t="s">
        <v>45</v>
      </c>
      <c r="G9" s="6" t="n">
        <v>1</v>
      </c>
      <c r="H9" s="5" t="s">
        <v>16</v>
      </c>
      <c r="I9" s="5"/>
      <c r="J9" s="4"/>
    </row>
    <row r="10" customFormat="false" ht="35.05" hidden="false" customHeight="false" outlineLevel="0" collapsed="false">
      <c r="A10" s="2" t="s">
        <v>46</v>
      </c>
      <c r="B10" s="8" t="s">
        <v>43</v>
      </c>
      <c r="C10" s="4" t="s">
        <v>47</v>
      </c>
      <c r="D10" s="5" t="s">
        <v>36</v>
      </c>
      <c r="E10" s="5" t="s">
        <v>21</v>
      </c>
      <c r="F10" s="4" t="s">
        <v>48</v>
      </c>
      <c r="G10" s="6" t="n">
        <v>0.5</v>
      </c>
      <c r="H10" s="5" t="s">
        <v>16</v>
      </c>
      <c r="I10" s="5"/>
      <c r="J10" s="4"/>
    </row>
    <row r="11" customFormat="false" ht="23.85" hidden="false" customHeight="false" outlineLevel="0" collapsed="false">
      <c r="A11" s="2" t="s">
        <v>49</v>
      </c>
      <c r="B11" s="8" t="s">
        <v>43</v>
      </c>
      <c r="C11" s="4" t="s">
        <v>50</v>
      </c>
      <c r="D11" s="5" t="s">
        <v>20</v>
      </c>
      <c r="E11" s="5" t="s">
        <v>51</v>
      </c>
      <c r="F11" s="4" t="s">
        <v>52</v>
      </c>
      <c r="G11" s="6" t="n">
        <v>1</v>
      </c>
      <c r="H11" s="5" t="s">
        <v>16</v>
      </c>
      <c r="I11" s="5"/>
      <c r="J11" s="4"/>
    </row>
    <row r="12" customFormat="false" ht="35.05" hidden="false" customHeight="false" outlineLevel="0" collapsed="false">
      <c r="A12" s="2" t="s">
        <v>53</v>
      </c>
      <c r="B12" s="8" t="s">
        <v>43</v>
      </c>
      <c r="C12" s="4" t="s">
        <v>54</v>
      </c>
      <c r="D12" s="5" t="s">
        <v>13</v>
      </c>
      <c r="E12" s="5" t="s">
        <v>55</v>
      </c>
      <c r="F12" s="4" t="s">
        <v>56</v>
      </c>
      <c r="G12" s="6" t="n">
        <v>8</v>
      </c>
      <c r="H12" s="5" t="s">
        <v>16</v>
      </c>
      <c r="I12" s="5"/>
      <c r="J12" s="4"/>
    </row>
    <row r="13" customFormat="false" ht="23.85" hidden="false" customHeight="false" outlineLevel="0" collapsed="false">
      <c r="A13" s="2" t="s">
        <v>57</v>
      </c>
      <c r="B13" s="8" t="s">
        <v>43</v>
      </c>
      <c r="C13" s="4" t="s">
        <v>58</v>
      </c>
      <c r="D13" s="5" t="s">
        <v>20</v>
      </c>
      <c r="E13" s="5" t="s">
        <v>55</v>
      </c>
      <c r="F13" s="4" t="s">
        <v>59</v>
      </c>
      <c r="G13" s="6" t="n">
        <v>8</v>
      </c>
      <c r="H13" s="5" t="s">
        <v>16</v>
      </c>
      <c r="I13" s="5"/>
      <c r="J13" s="4"/>
    </row>
    <row r="14" customFormat="false" ht="35.05" hidden="false" customHeight="false" outlineLevel="0" collapsed="false">
      <c r="A14" s="2" t="s">
        <v>60</v>
      </c>
      <c r="B14" s="8" t="s">
        <v>43</v>
      </c>
      <c r="C14" s="4" t="s">
        <v>61</v>
      </c>
      <c r="D14" s="5" t="s">
        <v>20</v>
      </c>
      <c r="E14" s="5" t="s">
        <v>62</v>
      </c>
      <c r="F14" s="4" t="s">
        <v>63</v>
      </c>
      <c r="G14" s="6" t="n">
        <v>4</v>
      </c>
      <c r="H14" s="5" t="s">
        <v>16</v>
      </c>
      <c r="I14" s="5"/>
      <c r="J14" s="4"/>
    </row>
    <row r="15" customFormat="false" ht="23.85" hidden="false" customHeight="false" outlineLevel="0" collapsed="false">
      <c r="A15" s="2" t="s">
        <v>64</v>
      </c>
      <c r="B15" s="8" t="s">
        <v>43</v>
      </c>
      <c r="C15" s="4" t="s">
        <v>65</v>
      </c>
      <c r="D15" s="5" t="s">
        <v>20</v>
      </c>
      <c r="E15" s="5" t="s">
        <v>14</v>
      </c>
      <c r="F15" s="4" t="s">
        <v>66</v>
      </c>
      <c r="G15" s="6" t="n">
        <v>6</v>
      </c>
      <c r="H15" s="5" t="s">
        <v>16</v>
      </c>
      <c r="I15" s="5"/>
      <c r="J15" s="4"/>
    </row>
    <row r="16" customFormat="false" ht="35.05" hidden="false" customHeight="false" outlineLevel="0" collapsed="false">
      <c r="A16" s="2" t="s">
        <v>67</v>
      </c>
      <c r="B16" s="8" t="s">
        <v>43</v>
      </c>
      <c r="C16" s="4" t="s">
        <v>68</v>
      </c>
      <c r="D16" s="5" t="s">
        <v>20</v>
      </c>
      <c r="E16" s="5" t="s">
        <v>69</v>
      </c>
      <c r="F16" s="4" t="s">
        <v>70</v>
      </c>
      <c r="G16" s="6" t="n">
        <v>1</v>
      </c>
      <c r="H16" s="5" t="s">
        <v>16</v>
      </c>
      <c r="I16" s="5"/>
      <c r="J16" s="4"/>
    </row>
    <row r="17" customFormat="false" ht="46.25" hidden="false" customHeight="false" outlineLevel="0" collapsed="false">
      <c r="A17" s="2" t="s">
        <v>71</v>
      </c>
      <c r="B17" s="8" t="s">
        <v>43</v>
      </c>
      <c r="C17" s="4" t="s">
        <v>72</v>
      </c>
      <c r="D17" s="5" t="s">
        <v>36</v>
      </c>
      <c r="E17" s="5" t="s">
        <v>37</v>
      </c>
      <c r="F17" s="4" t="s">
        <v>73</v>
      </c>
      <c r="G17" s="6" t="n">
        <v>2</v>
      </c>
      <c r="H17" s="5" t="s">
        <v>16</v>
      </c>
      <c r="I17" s="5"/>
      <c r="J17" s="4"/>
    </row>
    <row r="18" customFormat="false" ht="35.05" hidden="false" customHeight="false" outlineLevel="0" collapsed="false">
      <c r="A18" s="2" t="s">
        <v>74</v>
      </c>
      <c r="B18" s="8" t="s">
        <v>43</v>
      </c>
      <c r="C18" s="4" t="s">
        <v>75</v>
      </c>
      <c r="D18" s="5" t="s">
        <v>36</v>
      </c>
      <c r="E18" s="5" t="s">
        <v>25</v>
      </c>
      <c r="F18" s="4" t="s">
        <v>76</v>
      </c>
      <c r="G18" s="6" t="n">
        <v>0.5</v>
      </c>
      <c r="H18" s="5" t="s">
        <v>16</v>
      </c>
      <c r="I18" s="5"/>
      <c r="J18" s="4"/>
    </row>
    <row r="19" customFormat="false" ht="35.05" hidden="false" customHeight="false" outlineLevel="0" collapsed="false">
      <c r="A19" s="2" t="s">
        <v>77</v>
      </c>
      <c r="B19" s="9" t="s">
        <v>78</v>
      </c>
      <c r="C19" s="4" t="s">
        <v>79</v>
      </c>
      <c r="D19" s="5" t="s">
        <v>36</v>
      </c>
      <c r="E19" s="5" t="s">
        <v>80</v>
      </c>
      <c r="F19" s="4" t="s">
        <v>81</v>
      </c>
      <c r="G19" s="6" t="n">
        <v>0</v>
      </c>
      <c r="H19" s="5" t="s">
        <v>82</v>
      </c>
      <c r="I19" s="5"/>
      <c r="J19" s="4"/>
    </row>
    <row r="20" customFormat="false" ht="23.85" hidden="false" customHeight="false" outlineLevel="0" collapsed="false">
      <c r="A20" s="2" t="s">
        <v>83</v>
      </c>
      <c r="B20" s="9" t="s">
        <v>78</v>
      </c>
      <c r="C20" s="4" t="s">
        <v>84</v>
      </c>
      <c r="D20" s="5" t="s">
        <v>20</v>
      </c>
      <c r="E20" s="5" t="s">
        <v>80</v>
      </c>
      <c r="F20" s="4" t="s">
        <v>85</v>
      </c>
      <c r="G20" s="6" t="n">
        <v>0</v>
      </c>
      <c r="H20" s="5" t="s">
        <v>82</v>
      </c>
      <c r="I20" s="5"/>
      <c r="J20" s="4"/>
    </row>
    <row r="21" customFormat="false" ht="23.85" hidden="false" customHeight="false" outlineLevel="0" collapsed="false">
      <c r="A21" s="2" t="s">
        <v>86</v>
      </c>
      <c r="B21" s="9" t="s">
        <v>78</v>
      </c>
      <c r="C21" s="4" t="s">
        <v>87</v>
      </c>
      <c r="D21" s="5" t="s">
        <v>13</v>
      </c>
      <c r="E21" s="5" t="s">
        <v>55</v>
      </c>
      <c r="F21" s="4" t="s">
        <v>88</v>
      </c>
      <c r="G21" s="6" t="n">
        <v>0</v>
      </c>
      <c r="H21" s="5" t="s">
        <v>82</v>
      </c>
      <c r="I21" s="5"/>
      <c r="J21" s="4"/>
    </row>
    <row r="22" customFormat="false" ht="35.05" hidden="false" customHeight="false" outlineLevel="0" collapsed="false">
      <c r="A22" s="2" t="s">
        <v>89</v>
      </c>
      <c r="B22" s="9" t="s">
        <v>78</v>
      </c>
      <c r="C22" s="4" t="s">
        <v>90</v>
      </c>
      <c r="D22" s="5" t="s">
        <v>13</v>
      </c>
      <c r="E22" s="5" t="s">
        <v>91</v>
      </c>
      <c r="F22" s="4" t="s">
        <v>92</v>
      </c>
      <c r="G22" s="6" t="n">
        <v>0</v>
      </c>
      <c r="H22" s="5" t="s">
        <v>82</v>
      </c>
      <c r="I22" s="5"/>
      <c r="J22" s="4"/>
    </row>
    <row r="23" customFormat="false" ht="35.05" hidden="false" customHeight="false" outlineLevel="0" collapsed="false">
      <c r="A23" s="2" t="s">
        <v>93</v>
      </c>
      <c r="B23" s="9" t="s">
        <v>78</v>
      </c>
      <c r="C23" s="4" t="s">
        <v>94</v>
      </c>
      <c r="D23" s="5" t="s">
        <v>36</v>
      </c>
      <c r="E23" s="5" t="s">
        <v>95</v>
      </c>
      <c r="F23" s="4" t="s">
        <v>96</v>
      </c>
      <c r="G23" s="6" t="n">
        <v>0</v>
      </c>
      <c r="H23" s="5" t="s">
        <v>82</v>
      </c>
      <c r="I23" s="5"/>
      <c r="J23" s="4"/>
    </row>
    <row r="24" customFormat="false" ht="23.85" hidden="false" customHeight="false" outlineLevel="0" collapsed="false">
      <c r="A24" s="2" t="s">
        <v>97</v>
      </c>
      <c r="B24" s="9" t="s">
        <v>78</v>
      </c>
      <c r="C24" s="4" t="s">
        <v>98</v>
      </c>
      <c r="D24" s="5" t="s">
        <v>20</v>
      </c>
      <c r="E24" s="5" t="s">
        <v>95</v>
      </c>
      <c r="F24" s="4" t="s">
        <v>99</v>
      </c>
      <c r="G24" s="6" t="n">
        <v>0</v>
      </c>
      <c r="H24" s="5" t="s">
        <v>82</v>
      </c>
      <c r="I24" s="5"/>
      <c r="J24" s="4"/>
    </row>
    <row r="25" customFormat="false" ht="23.85" hidden="false" customHeight="false" outlineLevel="0" collapsed="false">
      <c r="A25" s="2" t="s">
        <v>100</v>
      </c>
      <c r="B25" s="9" t="s">
        <v>78</v>
      </c>
      <c r="C25" s="4" t="s">
        <v>101</v>
      </c>
      <c r="D25" s="5" t="s">
        <v>20</v>
      </c>
      <c r="E25" s="5" t="s">
        <v>14</v>
      </c>
      <c r="F25" s="4" t="s">
        <v>102</v>
      </c>
      <c r="G25" s="6" t="n">
        <v>0</v>
      </c>
      <c r="H25" s="5" t="s">
        <v>82</v>
      </c>
      <c r="I25" s="5"/>
      <c r="J25" s="4"/>
    </row>
    <row r="26" customFormat="false" ht="23.85" hidden="false" customHeight="false" outlineLevel="0" collapsed="false">
      <c r="A26" s="2" t="s">
        <v>103</v>
      </c>
      <c r="B26" s="9" t="s">
        <v>78</v>
      </c>
      <c r="C26" s="4" t="s">
        <v>104</v>
      </c>
      <c r="D26" s="5" t="s">
        <v>13</v>
      </c>
      <c r="E26" s="5" t="s">
        <v>69</v>
      </c>
      <c r="F26" s="4" t="s">
        <v>105</v>
      </c>
      <c r="G26" s="6" t="n">
        <v>0</v>
      </c>
      <c r="H26" s="5" t="s">
        <v>82</v>
      </c>
      <c r="I26" s="5"/>
      <c r="J26" s="4"/>
    </row>
    <row r="27" customFormat="false" ht="23.85" hidden="false" customHeight="false" outlineLevel="0" collapsed="false">
      <c r="A27" s="2" t="s">
        <v>106</v>
      </c>
      <c r="B27" s="9" t="s">
        <v>78</v>
      </c>
      <c r="C27" s="4" t="s">
        <v>107</v>
      </c>
      <c r="D27" s="5" t="s">
        <v>13</v>
      </c>
      <c r="E27" s="5" t="s">
        <v>69</v>
      </c>
      <c r="F27" s="4" t="s">
        <v>108</v>
      </c>
      <c r="G27" s="6" t="n">
        <v>0</v>
      </c>
      <c r="H27" s="5" t="s">
        <v>82</v>
      </c>
      <c r="I27" s="5"/>
      <c r="J27" s="4"/>
    </row>
    <row r="28" customFormat="false" ht="35.05" hidden="false" customHeight="false" outlineLevel="0" collapsed="false">
      <c r="A28" s="2" t="s">
        <v>109</v>
      </c>
      <c r="B28" s="9" t="s">
        <v>78</v>
      </c>
      <c r="C28" s="4" t="s">
        <v>110</v>
      </c>
      <c r="D28" s="5" t="s">
        <v>13</v>
      </c>
      <c r="E28" s="5" t="s">
        <v>111</v>
      </c>
      <c r="F28" s="4" t="s">
        <v>112</v>
      </c>
      <c r="G28" s="6" t="n">
        <v>0</v>
      </c>
      <c r="H28" s="5" t="s">
        <v>82</v>
      </c>
      <c r="I28" s="5"/>
      <c r="J28" s="4"/>
    </row>
    <row r="29" customFormat="false" ht="23.85" hidden="false" customHeight="false" outlineLevel="0" collapsed="false">
      <c r="A29" s="2" t="s">
        <v>113</v>
      </c>
      <c r="B29" s="9" t="s">
        <v>78</v>
      </c>
      <c r="C29" s="4" t="s">
        <v>114</v>
      </c>
      <c r="D29" s="5" t="s">
        <v>20</v>
      </c>
      <c r="E29" s="5" t="s">
        <v>69</v>
      </c>
      <c r="F29" s="4" t="s">
        <v>115</v>
      </c>
      <c r="G29" s="6" t="n">
        <v>0</v>
      </c>
      <c r="H29" s="5" t="s">
        <v>82</v>
      </c>
      <c r="I29" s="5"/>
      <c r="J29" s="4"/>
    </row>
    <row r="30" customFormat="false" ht="35.05" hidden="false" customHeight="false" outlineLevel="0" collapsed="false">
      <c r="A30" s="2" t="s">
        <v>116</v>
      </c>
      <c r="B30" s="9" t="s">
        <v>78</v>
      </c>
      <c r="C30" s="4" t="s">
        <v>117</v>
      </c>
      <c r="D30" s="5" t="s">
        <v>36</v>
      </c>
      <c r="E30" s="5" t="s">
        <v>118</v>
      </c>
      <c r="F30" s="4" t="s">
        <v>119</v>
      </c>
      <c r="G30" s="6" t="n">
        <v>0</v>
      </c>
      <c r="H30" s="5" t="s">
        <v>82</v>
      </c>
      <c r="I30" s="5"/>
      <c r="J30" s="4"/>
    </row>
    <row r="31" customFormat="false" ht="23.85" hidden="false" customHeight="false" outlineLevel="0" collapsed="false">
      <c r="A31" s="2" t="s">
        <v>120</v>
      </c>
      <c r="B31" s="9" t="s">
        <v>78</v>
      </c>
      <c r="C31" s="4" t="s">
        <v>121</v>
      </c>
      <c r="D31" s="5" t="s">
        <v>36</v>
      </c>
      <c r="E31" s="5" t="s">
        <v>122</v>
      </c>
      <c r="F31" s="4" t="s">
        <v>123</v>
      </c>
      <c r="G31" s="6" t="n">
        <v>0</v>
      </c>
      <c r="H31" s="5" t="s">
        <v>82</v>
      </c>
      <c r="I31" s="5"/>
      <c r="J31" s="4"/>
    </row>
    <row r="33" customFormat="false" ht="15" hidden="false" customHeight="false" outlineLevel="0" collapsed="false">
      <c r="F33" s="10" t="s">
        <v>124</v>
      </c>
      <c r="G33" s="11" t="n">
        <f aca="false">SUM(G2:G31)</f>
        <v>53.25</v>
      </c>
    </row>
    <row r="34" customFormat="false" ht="15" hidden="false" customHeight="false" outlineLevel="0" collapsed="false">
      <c r="F34" s="10" t="s">
        <v>125</v>
      </c>
      <c r="G34" s="10" t="n">
        <f aca="false">COUNTIF(B2:B31,"Закрыто")</f>
        <v>13</v>
      </c>
    </row>
    <row r="35" customFormat="false" ht="15" hidden="false" customHeight="false" outlineLevel="0" collapsed="false">
      <c r="F35" s="10" t="s">
        <v>126</v>
      </c>
      <c r="G35" s="10" t="n">
        <f aca="false">COUNTA(A2:A31)-COUNTIF(B2:B31,"Закрыто")</f>
        <v>17</v>
      </c>
    </row>
  </sheetData>
  <autoFilter ref="A1:J31"/>
  <dataValidations count="1">
    <dataValidation allowBlank="true" errorStyle="stop" operator="between" showDropDown="false" showErrorMessage="false" showInputMessage="false" sqref="H2:H31" type="list">
      <formula1>"Не начато,В работе,На проверке,Готово,Отклонено"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5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2" t="s">
        <v>127</v>
      </c>
      <c r="B1" s="12" t="s">
        <v>128</v>
      </c>
      <c r="C1" s="12" t="s">
        <v>129</v>
      </c>
      <c r="D1" s="12" t="s">
        <v>9</v>
      </c>
    </row>
    <row r="2" customFormat="false" ht="15" hidden="false" customHeight="false" outlineLevel="0" collapsed="false">
      <c r="A2" s="13" t="s">
        <v>130</v>
      </c>
      <c r="B2" s="13" t="n">
        <v>2578</v>
      </c>
      <c r="C2" s="14" t="n">
        <v>1314</v>
      </c>
      <c r="D2" s="13" t="s">
        <v>131</v>
      </c>
    </row>
    <row r="3" customFormat="false" ht="15" hidden="false" customHeight="false" outlineLevel="0" collapsed="false">
      <c r="A3" s="13" t="s">
        <v>132</v>
      </c>
      <c r="B3" s="13" t="n">
        <v>2313</v>
      </c>
      <c r="C3" s="14" t="n">
        <v>1112</v>
      </c>
      <c r="D3" s="13" t="s">
        <v>133</v>
      </c>
    </row>
    <row r="4" customFormat="false" ht="15" hidden="false" customHeight="false" outlineLevel="0" collapsed="false">
      <c r="A4" s="13" t="s">
        <v>134</v>
      </c>
      <c r="B4" s="13" t="n">
        <v>165</v>
      </c>
      <c r="C4" s="14" t="n">
        <v>101</v>
      </c>
      <c r="D4" s="13" t="s">
        <v>135</v>
      </c>
    </row>
    <row r="5" customFormat="false" ht="15" hidden="false" customHeight="false" outlineLevel="0" collapsed="false">
      <c r="A5" s="13" t="s">
        <v>136</v>
      </c>
      <c r="B5" s="13" t="n">
        <v>1</v>
      </c>
      <c r="C5" s="14" t="n">
        <v>19</v>
      </c>
      <c r="D5" s="13" t="s">
        <v>137</v>
      </c>
    </row>
    <row r="6" customFormat="false" ht="15" hidden="false" customHeight="false" outlineLevel="0" collapsed="false">
      <c r="A6" s="13" t="s">
        <v>138</v>
      </c>
      <c r="B6" s="13" t="n">
        <v>1132</v>
      </c>
      <c r="C6" s="14" t="n">
        <v>148</v>
      </c>
      <c r="D6" s="13" t="s">
        <v>139</v>
      </c>
    </row>
    <row r="7" customFormat="false" ht="15" hidden="false" customHeight="false" outlineLevel="0" collapsed="false">
      <c r="A7" s="13" t="s">
        <v>140</v>
      </c>
      <c r="B7" s="13" t="n">
        <v>6</v>
      </c>
      <c r="C7" s="14" t="n">
        <v>0</v>
      </c>
      <c r="D7" s="13" t="s">
        <v>141</v>
      </c>
    </row>
    <row r="8" customFormat="false" ht="15" hidden="false" customHeight="false" outlineLevel="0" collapsed="false">
      <c r="A8" s="13" t="s">
        <v>142</v>
      </c>
      <c r="B8" s="13" t="n">
        <v>14857</v>
      </c>
      <c r="C8" s="14" t="n">
        <v>12600</v>
      </c>
      <c r="D8" s="13" t="s">
        <v>143</v>
      </c>
    </row>
    <row r="9" customFormat="false" ht="15" hidden="false" customHeight="false" outlineLevel="0" collapsed="false">
      <c r="A9" s="13" t="s">
        <v>144</v>
      </c>
      <c r="B9" s="13" t="n">
        <v>8552</v>
      </c>
      <c r="C9" s="14" t="n">
        <v>7864</v>
      </c>
      <c r="D9" s="13" t="s">
        <v>145</v>
      </c>
    </row>
    <row r="10" customFormat="false" ht="15" hidden="false" customHeight="false" outlineLevel="0" collapsed="false">
      <c r="A10" s="13" t="s">
        <v>146</v>
      </c>
      <c r="B10" s="13" t="n">
        <v>0</v>
      </c>
      <c r="C10" s="14" t="n">
        <v>57</v>
      </c>
      <c r="D10" s="13" t="s">
        <v>147</v>
      </c>
    </row>
    <row r="11" customFormat="false" ht="15" hidden="false" customHeight="false" outlineLevel="0" collapsed="false">
      <c r="A11" s="13" t="s">
        <v>148</v>
      </c>
      <c r="B11" s="13" t="s">
        <v>149</v>
      </c>
      <c r="C11" s="14" t="s">
        <v>150</v>
      </c>
      <c r="D11" s="13" t="s">
        <v>151</v>
      </c>
    </row>
    <row r="12" customFormat="false" ht="15" hidden="false" customHeight="false" outlineLevel="0" collapsed="false">
      <c r="A12" s="13" t="s">
        <v>152</v>
      </c>
      <c r="B12" s="13" t="n">
        <v>1</v>
      </c>
      <c r="C12" s="15" t="n">
        <v>2</v>
      </c>
      <c r="D12" s="13" t="s">
        <v>153</v>
      </c>
    </row>
    <row r="13" customFormat="false" ht="15" hidden="false" customHeight="false" outlineLevel="0" collapsed="false">
      <c r="A13" s="13" t="s">
        <v>154</v>
      </c>
      <c r="B13" s="13" t="n">
        <v>3</v>
      </c>
      <c r="C13" s="15" t="n">
        <v>6</v>
      </c>
      <c r="D13" s="13" t="s">
        <v>155</v>
      </c>
    </row>
    <row r="14" customFormat="false" ht="15" hidden="false" customHeight="false" outlineLevel="0" collapsed="false">
      <c r="A14" s="13" t="s">
        <v>156</v>
      </c>
      <c r="B14" s="13" t="n">
        <v>4</v>
      </c>
      <c r="C14" s="14" t="n">
        <v>3</v>
      </c>
      <c r="D14" s="1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2026-09-18T05:52:33Z</dcterms:created>
  <dc:creator>openpyxl</dc:creator>
  <dc:description/>
  <dc:language>en-US</dc:language>
  <cp:lastModifiedBy/>
  <dcterms:modified xsi:type="dcterms:W3CDTF">2026-09-18T05:52:33Z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