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Находки" sheetId="1" state="visible" r:id="rId3"/>
    <sheet name="Логотип по ширинам" sheetId="2" state="visible" r:id="rId4"/>
    <sheet name="Не трогать" sheetId="3" state="visible" r:id="rId5"/>
  </sheets>
  <definedNames>
    <definedName function="false" hidden="true" localSheetId="0" name="_xlnm._FilterDatabase" vbProcedure="false">Находки!$A$1:$J$30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<sst xmlns="http://schemas.openxmlformats.org/spreadsheetml/2006/main" count="234" uniqueCount="160">
  <si>
    <t xml:space="preserve">ID</t>
  </si>
  <si>
    <t xml:space="preserve">Приоритет</t>
  </si>
  <si>
    <t xml:space="preserve">Область</t>
  </si>
  <si>
    <t xml:space="preserve">Спринт</t>
  </si>
  <si>
    <t xml:space="preserve">Проблема</t>
  </si>
  <si>
    <t xml:space="preserve">Замер / доказательство</t>
  </si>
  <si>
    <t xml:space="preserve">Оценка, ч</t>
  </si>
  <si>
    <t xml:space="preserve">Статус</t>
  </si>
  <si>
    <t xml:space="preserve">Исполнитель</t>
  </si>
  <si>
    <t xml:space="preserve">Комментарий</t>
  </si>
  <si>
    <t xml:space="preserve">CNT-01</t>
  </si>
  <si>
    <t xml:space="preserve">Критично</t>
  </si>
  <si>
    <t xml:space="preserve">Контент</t>
  </si>
  <si>
    <t xml:space="preserve">На главной вместо обложки статьи — служебный плейсхолдер</t>
  </si>
  <si>
    <t xml:space="preserve">Найден DOM-узел с текстом article-cover-viza-v-turkmenistan · класс: font-black uppercase text-label text-accent-text · Всего статей в sitemap: 10, обложек на главной: 3</t>
  </si>
  <si>
    <t xml:space="preserve">Не начато</t>
  </si>
  <si>
    <t xml:space="preserve">CNT-02</t>
  </si>
  <si>
    <t xml:space="preserve">Два пункта главного меню ведут в пустые разделы</t>
  </si>
  <si>
    <t xml:space="preserve">/ru/reviews → «Показано 0 из 0», все фильтры по 0 · /ru/video → «Все 0», «Показано 0 из 0» · Оба раздела есть в главном меню и в подвале. · В sitemap.xml их нет — то есть сами понимаете, что рано.</t>
  </si>
  <si>
    <t xml:space="preserve">CNT-03</t>
  </si>
  <si>
    <t xml:space="preserve">Доверие</t>
  </si>
  <si>
    <t xml:space="preserve">Сборщик обещает цену сразу и не показывает её</t>
  </si>
  <si>
    <t xml:space="preserve">Блок «Как это работает», шаг 02: «Видите цену сразу» · Сводка «Ваш тур»: «Цену рассчитает оператор… после заявки» · Поля с ценой в сводке: нет ни одного</t>
  </si>
  <si>
    <t xml:space="preserve">UI-01</t>
  </si>
  <si>
    <t xml:space="preserve">Вёрстка</t>
  </si>
  <si>
    <t xml:space="preserve">Логотип схлопывается до нуля на ширинах 1024–1180 px</t>
  </si>
  <si>
    <t xml:space="preserve">1280 px → 57×36   1150 px → 48×36 · 1100 px → 24×36   1024 px → 0×36</t>
  </si>
  <si>
    <t xml:space="preserve">UI-02</t>
  </si>
  <si>
    <t xml:space="preserve">Пункты меню переносятся на две строки от 1240 px и ниже</t>
  </si>
  <si>
    <t xml:space="preserve">1240 px → «Сборщик туров» 2 строки, шапка 65 px · 1024 px → «Онлайн-заявка» 2 строки · Переключение на бургер: 980 px (нужно ~1240)</t>
  </si>
  <si>
    <t xml:space="preserve">UI-03</t>
  </si>
  <si>
    <t xml:space="preserve">Контраст</t>
  </si>
  <si>
    <t xml:space="preserve">Под текстом hero нет затемнения — читаемость зависит от кадра</t>
  </si>
  <si>
    <t xml:space="preserve">Проверены все div в section: градиентных слоёв 0, · filter у &amp;lt;img&amp;gt;: none, opacity: 1. · Единственный полупрозрачный слой — карточка формы поиска.</t>
  </si>
  <si>
    <t xml:space="preserve">PERF-01</t>
  </si>
  <si>
    <t xml:space="preserve">Важно</t>
  </si>
  <si>
    <t xml:space="preserve">Скорость</t>
  </si>
  <si>
    <t xml:space="preserve">LCP-картинка скачивается дважды в разных размерах</t>
  </si>
  <si>
    <t xml:space="preserve">917888801133.webp?w=1280 — 255 КБ, rel=preload · 917888801133.webp?w=1600 — 353 КБ, &amp;lt;img&amp;gt; из srcset · Всего картинок на главной: 2313 КБ из 2578 КБ страницы · Дублей «один файл в двух размерах»: 6</t>
  </si>
  <si>
    <t xml:space="preserve">UX-01</t>
  </si>
  <si>
    <t xml:space="preserve">Конверсия</t>
  </si>
  <si>
    <t xml:space="preserve">На странице тура первый CTA — после 3200 px скролла, шапка не липкая</t>
  </si>
  <si>
    <t xml:space="preserve">Высота страницы: 8552 px · fixed/sticky элементов на странице: 1 (полоска прогресса 2 px) · CTA на y = 3200, 4227, 6821, 7651</t>
  </si>
  <si>
    <t xml:space="preserve">UX-02</t>
  </si>
  <si>
    <t xml:space="preserve">Прогресс сборщика теряется при перезагрузке</t>
  </si>
  <si>
    <t xml:space="preserve">localStorage после прохождения всех 9 шагов: {} · sessionStorage: только tsr-scroll-restoration от роутера</t>
  </si>
  <si>
    <t xml:space="preserve">UX-03</t>
  </si>
  <si>
    <t xml:space="preserve">Логика</t>
  </si>
  <si>
    <t xml:space="preserve">«Заполнено 1 из 8» при девяти шагах и «6 ночей», которых никто не выбирал</t>
  </si>
  <si>
    <t xml:space="preserve">Заголовки шагов: «Шаг 1 из 9» … «Шаг 9 из 9» · Счётчик: «Заполнено 1 из 8» · Сводка при пустой форме: Даты —, Человек —, но Ночей 6, Человек 2</t>
  </si>
  <si>
    <t xml:space="preserve">UX-04</t>
  </si>
  <si>
    <t xml:space="preserve">Формы</t>
  </si>
  <si>
    <t xml:space="preserve">Placeholder обрезаются в форме заявки</t>
  </si>
  <si>
    <t xml:space="preserve">Ширина полей на десктопе: name 142 px, phone 142 px, email 142 px · placeholder: «Как к вам обращаться» (20 симв.), «чтобы прислать программу» (24 симв.) · Левая половина секции «Оставьте заявку» при этом пустая</t>
  </si>
  <si>
    <t xml:space="preserve">UX-05</t>
  </si>
  <si>
    <t xml:space="preserve">Адаптив</t>
  </si>
  <si>
    <t xml:space="preserve">На планшете 768 px селекты поиска показывают «Не важ»</t>
  </si>
  <si>
    <t xml:space="preserve">768 px → ширина каждого select 117 px → «Не важ» · 1024 px → 197 px ✓   1280 px → 221 px ✓ · 390 px → в столбик, полная ширина ✓</t>
  </si>
  <si>
    <t xml:space="preserve">UX-06</t>
  </si>
  <si>
    <t xml:space="preserve">Сводка «Ваш тур» уезжает вместе со страницей</t>
  </si>
  <si>
    <t xml:space="preserve">Цепочка предков блока «Ваш тур»: ни одного position: sticky/fixed</t>
  </si>
  <si>
    <t xml:space="preserve">A11Y-01</t>
  </si>
  <si>
    <t xml:space="preserve">WCAG</t>
  </si>
  <si>
    <t xml:space="preserve">Цвет фокуса не проходит по контрасту на светлом фоне</t>
  </si>
  <si>
    <t xml:space="preserve">#DFA059 на #FAF6EF = 2.09:1 (нужно 3:1) ✗ · #DFA059 на #241C15 = 7.44:1 ✓ · #8A5A22 (--c-accent-active) на #FAF6EF = 5.47:1 ✓ — уже есть в палитре</t>
  </si>
  <si>
    <t xml:space="preserve">A11Y-02</t>
  </si>
  <si>
    <t xml:space="preserve">Мобайл</t>
  </si>
  <si>
    <t xml:space="preserve">Тач-таргеты меньше 40 px в шести местах</t>
  </si>
  <si>
    <t xml:space="preserve">Точки слайдов hero: 140×11 · Чекбокс согласия: 17×17 · Кнопка паузы карусели: 32×32 · Хлебные крошки «Главная»: 60×22 · Ссылка логотипа на десктопе: 13×36 (см. UI-01)</t>
  </si>
  <si>
    <t xml:space="preserve">A11Y-03</t>
  </si>
  <si>
    <t xml:space="preserve">Бургер-меню не блокирует скролл и не объявлено модальным</t>
  </si>
  <si>
    <t xml:space="preserve">При открытом меню: body overflow visible, html overflow visible · role="dialog": нет, aria-modal: нет · aria-expanded: «Язык: Русский» = true, «Закрыть меню» = true — оба сразу</t>
  </si>
  <si>
    <t xml:space="preserve">A11Y-04</t>
  </si>
  <si>
    <t xml:space="preserve">Средне</t>
  </si>
  <si>
    <t xml:space="preserve">Кнопки выбора в сборщике не сообщают о выбранном состоянии</t>
  </si>
  <si>
    <t xml:space="preserve">Кнопок с aria-pressed на /ru/builder: 0 · aria-current="step" в навигации шагов: есть ✓</t>
  </si>
  <si>
    <t xml:space="preserve">A11Y-05</t>
  </si>
  <si>
    <t xml:space="preserve">Текст 10–11 px в подписях, счётчиках и тегах</t>
  </si>
  <si>
    <t xml:space="preserve">Найдено размеров &amp;lt;12.5px: 10 px («Направление»), 11 px (eyebrow, теги, счётчики) · --c-muted #7F6E5E на #FAF6EF = 4.54:1 — проходит AA впритык · --c-accent-text #996728 на #FAF6EF = 4.51:1 — тоже впритык</t>
  </si>
  <si>
    <t xml:space="preserve">A11Y-06</t>
  </si>
  <si>
    <t xml:space="preserve">Семантика</t>
  </si>
  <si>
    <t xml:space="preserve">Нет skip-link, нет landmark header, восемь секций без имени</t>
  </si>
  <si>
    <t xml:space="preserve">skip-link: нет · &amp;lt;header&amp;gt;: 0   &amp;lt;nav&amp;gt;: 5   &amp;lt;main&amp;gt;: 1   &amp;lt;footer&amp;gt;: 1 · &amp;lt;section&amp;gt; без aria-label/labelledby: 8 из 9</t>
  </si>
  <si>
    <t xml:space="preserve">FRM-01</t>
  </si>
  <si>
    <t xml:space="preserve">Согласие на обработку данных не обязательно на уровне формы</t>
  </si>
  <si>
    <t xml:space="preserve">checkValidity() при пустой форме: name invalid, phone invalid, · consent valid ← при снятой галочке · consent.required = false</t>
  </si>
  <si>
    <t xml:space="preserve">FRM-02</t>
  </si>
  <si>
    <t xml:space="preserve">Поле телефона принимает «abc»</t>
  </si>
  <si>
    <t xml:space="preserve">phone.value = "abc" → checkValidity() = true · pattern: нет, inputmode="tel" ✓, autocomplete="tel" ✓</t>
  </si>
  <si>
    <t xml:space="preserve">CNT-04</t>
  </si>
  <si>
    <t xml:space="preserve">«Популярные туры» — один тур</t>
  </si>
  <si>
    <t xml:space="preserve">/ru/tours: 1 маршрут, 5 дней, от 830 $ · Блок на главной: «ВСЕ МАРШРУТЫ · 1» · Отелей при этом 16, статей 10, фото 14</t>
  </si>
  <si>
    <t xml:space="preserve">I18N-01</t>
  </si>
  <si>
    <t xml:space="preserve">Локали</t>
  </si>
  <si>
    <t xml:space="preserve">Турецкой версии нет, хотя код к ней готов</t>
  </si>
  <si>
    <t xml:space="preserve">Переключатель: RU, EN · sitemap.xml: hreflang ru, en, x-default→ru · В JS-бандле встречается: "tr"</t>
  </si>
  <si>
    <t xml:space="preserve">IA-01</t>
  </si>
  <si>
    <t xml:space="preserve">Структура</t>
  </si>
  <si>
    <t xml:space="preserve">Главная длиной 14 857 px на мобильном: весь сборщик встроен в неё</t>
  </si>
  <si>
    <t xml:space="preserve">Высота главной: 8981 px (десктоп), 14 857 px (390 px), 16 077 px (320 px) · /ru/builder — 5434 px, то же содержимое · /ru/hotels — 7538 px, /ru/tours — 3495 px</t>
  </si>
  <si>
    <t xml:space="preserve">PERF-02</t>
  </si>
  <si>
    <t xml:space="preserve">Весь сайт в одном JS-чанке, без разделения по маршрутам</t>
  </si>
  <si>
    <t xml:space="preserve">index-*.js: 545 КБ → 165 КБ gzip (коэффициент 0.30 — это gzip, не brotli) · import( ) в бандле: 0 · TTFB 134 мс, first-paint 1032 мс, FCP 1132 мс · CSS: 44 КБ → 9 КБ ✓  Шрифты: 3×23 КБ, сабсет ✓</t>
  </si>
  <si>
    <t xml:space="preserve">SEO-01</t>
  </si>
  <si>
    <t xml:space="preserve">SEO</t>
  </si>
  <si>
    <t xml:space="preserve">В HTML нет контента — только мета-теги</t>
  </si>
  <si>
    <t xml:space="preserve">/ru/tours/turkmenistan-5-days: в HTML есть title, description, canonical, · og:title/description/image/url/locale, hreflang ru/en/x-default ✓ · Текста тура в HTML: нет · JSON-LD: только TravelAgency</t>
  </si>
  <si>
    <t xml:space="preserve">SEO-02</t>
  </si>
  <si>
    <t xml:space="preserve">Микроразметка описывает агентство, но не то, что продаётся</t>
  </si>
  <si>
    <t xml:space="preserve">JSON-LD на главной: 1 объект, @type TravelAgency · Страницы без разметки: 1 тур, 16 отелей, 10 статей · Хлебные крошки в DOM есть, BreadcrumbList — нет</t>
  </si>
  <si>
    <t xml:space="preserve">UI-04</t>
  </si>
  <si>
    <t xml:space="preserve">Навигация слайдов заходит в область заголовка на 1024 px</t>
  </si>
  <si>
    <t xml:space="preserve">1024 px: h1 занимает 40…940 px, навигация 844…968 px по x, · 330…341 px по y — внутри вертикали заголовка (240…455) → пересечение · 1920 px: h1 до 1172 px, навигация на 1720 px</t>
  </si>
  <si>
    <t xml:space="preserve">UI-05</t>
  </si>
  <si>
    <t xml:space="preserve">Карточки городов в сборщике рвутся на три строки</t>
  </si>
  <si>
    <t xml:space="preserve">Ширина средней колонки: ~330 px на 3 карточки · «Мары / Мерв» → 3 строки, «Древний Шёлковый путь» → 3 строки</t>
  </si>
  <si>
    <t xml:space="preserve">Итого часов</t>
  </si>
  <si>
    <t xml:space="preserve">Закрыто</t>
  </si>
  <si>
    <t xml:space="preserve">Ширина окна, px</t>
  </si>
  <si>
    <t xml:space="preserve">Логотип, px</t>
  </si>
  <si>
    <t xml:space="preserve">«Сборщик туров»</t>
  </si>
  <si>
    <t xml:space="preserve">Что видит пользователь</t>
  </si>
  <si>
    <t xml:space="preserve">1920–1280</t>
  </si>
  <si>
    <t xml:space="preserve">57</t>
  </si>
  <si>
    <t xml:space="preserve">1 строка</t>
  </si>
  <si>
    <t xml:space="preserve">Норма</t>
  </si>
  <si>
    <t xml:space="preserve">1240–1200</t>
  </si>
  <si>
    <t xml:space="preserve">2 строки</t>
  </si>
  <si>
    <t xml:space="preserve">Шапка выросла, пункты разной высоты</t>
  </si>
  <si>
    <t xml:space="preserve">1170</t>
  </si>
  <si>
    <t xml:space="preserve">53</t>
  </si>
  <si>
    <t xml:space="preserve">Логотип поехал</t>
  </si>
  <si>
    <t xml:space="preserve">1150</t>
  </si>
  <si>
    <t xml:space="preserve">48</t>
  </si>
  <si>
    <t xml:space="preserve">Логотип заметно сплющен</t>
  </si>
  <si>
    <t xml:space="preserve">1100</t>
  </si>
  <si>
    <t xml:space="preserve">24</t>
  </si>
  <si>
    <t xml:space="preserve">Вместо знака — вертикальная полоска</t>
  </si>
  <si>
    <t xml:space="preserve">1060–1024</t>
  </si>
  <si>
    <t xml:space="preserve">0</t>
  </si>
  <si>
    <t xml:space="preserve">Логотипа нет вообще</t>
  </si>
  <si>
    <t xml:space="preserve">≤980</t>
  </si>
  <si>
    <t xml:space="preserve">—</t>
  </si>
  <si>
    <t xml:space="preserve">Норма (бургер-меню)</t>
  </si>
  <si>
    <t xml:space="preserve">Замер: img[alt="Charva Travel"].getBoundingClientRect().width, Chrome, 14.09.2026</t>
  </si>
  <si>
    <t xml:space="preserve">Что уже сделано правильно</t>
  </si>
  <si>
    <t xml:space="preserve">CLS = 0 на всех проверенных страницах</t>
  </si>
  <si>
    <t xml:space="preserve">srcset из 7 размеров + sizes + loading="lazy" + fetchpriority="high" на первом слайде</t>
  </si>
  <si>
    <t xml:space="preserve">Нет горизонтального скролла ни на одной ширине от 320 до 1920 px</t>
  </si>
  <si>
    <t xml:space="preserve">alt заполнен у всех 19 изображений, осмысленно</t>
  </si>
  <si>
    <t xml:space="preserve">Один h1 на страницу, иерархия h2/h3 без пропусков уровней</t>
  </si>
  <si>
    <t xml:space="preserve">aria-current="page" и aria-current="step", aria-live, aria-expanded</t>
  </si>
  <si>
    <t xml:space="preserve">prefers-reduced-motion отключает анимации и smooth scroll глобально</t>
  </si>
  <si>
    <t xml:space="preserve">Кнопка паузы автокарусели (WCAG 2.2.2 Pause, Stop, Hide)</t>
  </si>
  <si>
    <t xml:space="preserve">Пустые состояния и 404 — с объяснением и CTA</t>
  </si>
  <si>
    <t xml:space="preserve">sitemap.xml на 46 URL с hreflang ru/en/x-default, canonical, og:image на каждой странице</t>
  </si>
  <si>
    <t xml:space="preserve">Honeypot-поле + CSRF-токен /forms/token; секретов и токенов в JS-бандле нет</t>
  </si>
  <si>
    <t xml:space="preserve">Дизайн-токены: 29 CSS-переменных, палитра почти вся проходит WCAG AA</t>
  </si>
  <si>
    <t xml:space="preserve">Шрифт Stolzl сабсеттирован (3×23 КБ), font-display: swap</t>
  </si>
  <si>
    <t xml:space="preserve">Gzip и HTTP/2 включены, статика кэшируется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</si>
</sst>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A4232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8A5300"/>
      <name val="Arial"/>
      <family val="0"/>
      <charset val="1"/>
    </font>
    <font>
      <b val="true"/>
      <sz val="10"/>
      <color rgb="FF3F4A5C"/>
      <name val="Arial"/>
      <family val="0"/>
      <charset val="1"/>
    </font>
    <font>
      <b val="true"/>
      <sz val="10"/>
      <color rgb="FF156B4F"/>
      <name val="Arial"/>
      <family val="0"/>
      <charset val="1"/>
    </font>
    <font>
      <i val="true"/>
      <sz val="9"/>
      <color rgb="FF6971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5181E"/>
        <bgColor rgb="FF000000"/>
      </patternFill>
    </fill>
    <fill>
      <patternFill patternType="solid">
        <fgColor rgb="FFFBE9E9"/>
        <bgColor rgb="FFFBF1E0"/>
      </patternFill>
    </fill>
    <fill>
      <patternFill patternType="solid">
        <fgColor rgb="FFFBF1E0"/>
        <bgColor rgb="FFFBE9E9"/>
      </patternFill>
    </fill>
    <fill>
      <patternFill patternType="solid">
        <fgColor rgb="FFEFF1F4"/>
        <bgColor rgb="FFFBF1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A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518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FF1F4"/>
          <bgColor rgb="FF000000"/>
        </patternFill>
      </fill>
    </dxf>
    <dxf>
      <fill>
        <patternFill patternType="solid">
          <fgColor rgb="FFFBE9E9"/>
          <bgColor rgb="FF000000"/>
        </patternFill>
      </fill>
    </dxf>
    <dxf>
      <fill>
        <patternFill patternType="solid">
          <fgColor rgb="FFFBF1E0"/>
          <bgColor rgb="FF000000"/>
        </patternFill>
      </fill>
    </dxf>
    <dxf>
      <fill>
        <patternFill patternType="solid">
          <fgColor rgb="FF3F4A5C"/>
          <bgColor rgb="FF000000"/>
        </patternFill>
      </fill>
    </dxf>
    <dxf>
      <fill>
        <patternFill patternType="solid">
          <fgColor rgb="FF8A5300"/>
          <bgColor rgb="FF000000"/>
        </patternFill>
      </fill>
    </dxf>
    <dxf>
      <fill>
        <patternFill patternType="solid">
          <fgColor rgb="FFA4232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300"/>
      <rgbColor rgb="FF800080"/>
      <rgbColor rgb="FF156B4F"/>
      <rgbColor rgb="FFC0C0C0"/>
      <rgbColor rgb="FF808080"/>
      <rgbColor rgb="FF9999FF"/>
      <rgbColor rgb="FF993366"/>
      <rgbColor rgb="FFFBF1E0"/>
      <rgbColor rgb="FFEFF1F4"/>
      <rgbColor rgb="FF660066"/>
      <rgbColor rgb="FFFF8080"/>
      <rgbColor rgb="FF0066CC"/>
      <rgbColor rgb="FFD5DA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9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9717F"/>
      <rgbColor rgb="FF969696"/>
      <rgbColor rgb="FF003366"/>
      <rgbColor rgb="FF339966"/>
      <rgbColor rgb="FF15181E"/>
      <rgbColor rgb="FF333300"/>
      <rgbColor rgb="FFA4232A"/>
      <rgbColor rgb="FF993366"/>
      <rgbColor rgb="FF333399"/>
      <rgbColor rgb="FF3F4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52"/>
    <col collapsed="false" customWidth="true" hidden="false" outlineLevel="0" max="6" min="6" style="0" width="62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2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3" t="s">
        <v>11</v>
      </c>
      <c r="C2" s="4" t="s">
        <v>12</v>
      </c>
      <c r="D2" s="5" t="n">
        <v>1</v>
      </c>
      <c r="E2" s="6" t="s">
        <v>13</v>
      </c>
      <c r="F2" s="6" t="s">
        <v>14</v>
      </c>
      <c r="G2" s="7" t="n">
        <v>2</v>
      </c>
      <c r="H2" s="4" t="s">
        <v>15</v>
      </c>
      <c r="I2" s="4"/>
      <c r="J2" s="6"/>
    </row>
    <row r="3" customFormat="false" ht="35.05" hidden="false" customHeight="false" outlineLevel="0" collapsed="false">
      <c r="A3" s="2" t="s">
        <v>16</v>
      </c>
      <c r="B3" s="3" t="s">
        <v>11</v>
      </c>
      <c r="C3" s="4" t="s">
        <v>12</v>
      </c>
      <c r="D3" s="5" t="n">
        <v>1</v>
      </c>
      <c r="E3" s="6" t="s">
        <v>17</v>
      </c>
      <c r="F3" s="6" t="s">
        <v>18</v>
      </c>
      <c r="G3" s="7" t="n">
        <v>1</v>
      </c>
      <c r="H3" s="4" t="s">
        <v>15</v>
      </c>
      <c r="I3" s="4"/>
      <c r="J3" s="6"/>
    </row>
    <row r="4" customFormat="false" ht="35.05" hidden="false" customHeight="false" outlineLevel="0" collapsed="false">
      <c r="A4" s="2" t="s">
        <v>19</v>
      </c>
      <c r="B4" s="3" t="s">
        <v>11</v>
      </c>
      <c r="C4" s="4" t="s">
        <v>20</v>
      </c>
      <c r="D4" s="5" t="n">
        <v>1</v>
      </c>
      <c r="E4" s="6" t="s">
        <v>21</v>
      </c>
      <c r="F4" s="6" t="s">
        <v>22</v>
      </c>
      <c r="G4" s="7" t="n">
        <v>2</v>
      </c>
      <c r="H4" s="4" t="s">
        <v>15</v>
      </c>
      <c r="I4" s="4"/>
      <c r="J4" s="6"/>
    </row>
    <row r="5" customFormat="false" ht="15" hidden="false" customHeight="false" outlineLevel="0" collapsed="false">
      <c r="A5" s="2" t="s">
        <v>23</v>
      </c>
      <c r="B5" s="3" t="s">
        <v>11</v>
      </c>
      <c r="C5" s="4" t="s">
        <v>24</v>
      </c>
      <c r="D5" s="5" t="n">
        <v>1</v>
      </c>
      <c r="E5" s="6" t="s">
        <v>25</v>
      </c>
      <c r="F5" s="6" t="s">
        <v>26</v>
      </c>
      <c r="G5" s="7" t="n">
        <v>0.5</v>
      </c>
      <c r="H5" s="4" t="s">
        <v>15</v>
      </c>
      <c r="I5" s="4"/>
      <c r="J5" s="6"/>
    </row>
    <row r="6" customFormat="false" ht="35.05" hidden="false" customHeight="false" outlineLevel="0" collapsed="false">
      <c r="A6" s="2" t="s">
        <v>27</v>
      </c>
      <c r="B6" s="3" t="s">
        <v>11</v>
      </c>
      <c r="C6" s="4" t="s">
        <v>24</v>
      </c>
      <c r="D6" s="5" t="n">
        <v>1</v>
      </c>
      <c r="E6" s="6" t="s">
        <v>28</v>
      </c>
      <c r="F6" s="6" t="s">
        <v>29</v>
      </c>
      <c r="G6" s="7" t="n">
        <v>1</v>
      </c>
      <c r="H6" s="4" t="s">
        <v>15</v>
      </c>
      <c r="I6" s="4"/>
      <c r="J6" s="6"/>
    </row>
    <row r="7" customFormat="false" ht="35.05" hidden="false" customHeight="false" outlineLevel="0" collapsed="false">
      <c r="A7" s="2" t="s">
        <v>30</v>
      </c>
      <c r="B7" s="3" t="s">
        <v>11</v>
      </c>
      <c r="C7" s="4" t="s">
        <v>31</v>
      </c>
      <c r="D7" s="5" t="n">
        <v>1</v>
      </c>
      <c r="E7" s="6" t="s">
        <v>32</v>
      </c>
      <c r="F7" s="6" t="s">
        <v>33</v>
      </c>
      <c r="G7" s="7" t="n">
        <v>2</v>
      </c>
      <c r="H7" s="4" t="s">
        <v>15</v>
      </c>
      <c r="I7" s="4"/>
      <c r="J7" s="6"/>
    </row>
    <row r="8" customFormat="false" ht="46.25" hidden="false" customHeight="false" outlineLevel="0" collapsed="false">
      <c r="A8" s="2" t="s">
        <v>34</v>
      </c>
      <c r="B8" s="8" t="s">
        <v>35</v>
      </c>
      <c r="C8" s="4" t="s">
        <v>36</v>
      </c>
      <c r="D8" s="5" t="n">
        <v>2</v>
      </c>
      <c r="E8" s="6" t="s">
        <v>37</v>
      </c>
      <c r="F8" s="6" t="s">
        <v>38</v>
      </c>
      <c r="G8" s="7" t="n">
        <v>0.5</v>
      </c>
      <c r="H8" s="4" t="s">
        <v>15</v>
      </c>
      <c r="I8" s="4"/>
      <c r="J8" s="6"/>
    </row>
    <row r="9" customFormat="false" ht="23.85" hidden="false" customHeight="false" outlineLevel="0" collapsed="false">
      <c r="A9" s="2" t="s">
        <v>39</v>
      </c>
      <c r="B9" s="8" t="s">
        <v>35</v>
      </c>
      <c r="C9" s="4" t="s">
        <v>40</v>
      </c>
      <c r="D9" s="5" t="n">
        <v>2</v>
      </c>
      <c r="E9" s="6" t="s">
        <v>41</v>
      </c>
      <c r="F9" s="6" t="s">
        <v>42</v>
      </c>
      <c r="G9" s="7" t="n">
        <v>4</v>
      </c>
      <c r="H9" s="4" t="s">
        <v>15</v>
      </c>
      <c r="I9" s="4"/>
      <c r="J9" s="6"/>
    </row>
    <row r="10" customFormat="false" ht="23.85" hidden="false" customHeight="false" outlineLevel="0" collapsed="false">
      <c r="A10" s="2" t="s">
        <v>43</v>
      </c>
      <c r="B10" s="8" t="s">
        <v>35</v>
      </c>
      <c r="C10" s="4" t="s">
        <v>40</v>
      </c>
      <c r="D10" s="5" t="n">
        <v>2</v>
      </c>
      <c r="E10" s="6" t="s">
        <v>44</v>
      </c>
      <c r="F10" s="6" t="s">
        <v>45</v>
      </c>
      <c r="G10" s="7" t="n">
        <v>2</v>
      </c>
      <c r="H10" s="4" t="s">
        <v>15</v>
      </c>
      <c r="I10" s="4"/>
      <c r="J10" s="6"/>
    </row>
    <row r="11" customFormat="false" ht="35.05" hidden="false" customHeight="false" outlineLevel="0" collapsed="false">
      <c r="A11" s="2" t="s">
        <v>46</v>
      </c>
      <c r="B11" s="8" t="s">
        <v>35</v>
      </c>
      <c r="C11" s="4" t="s">
        <v>47</v>
      </c>
      <c r="D11" s="5" t="n">
        <v>2</v>
      </c>
      <c r="E11" s="6" t="s">
        <v>48</v>
      </c>
      <c r="F11" s="6" t="s">
        <v>49</v>
      </c>
      <c r="G11" s="7" t="n">
        <v>3</v>
      </c>
      <c r="H11" s="4" t="s">
        <v>15</v>
      </c>
      <c r="I11" s="4"/>
      <c r="J11" s="6"/>
    </row>
    <row r="12" customFormat="false" ht="46.25" hidden="false" customHeight="false" outlineLevel="0" collapsed="false">
      <c r="A12" s="2" t="s">
        <v>50</v>
      </c>
      <c r="B12" s="8" t="s">
        <v>35</v>
      </c>
      <c r="C12" s="4" t="s">
        <v>51</v>
      </c>
      <c r="D12" s="5" t="n">
        <v>2</v>
      </c>
      <c r="E12" s="6" t="s">
        <v>52</v>
      </c>
      <c r="F12" s="6" t="s">
        <v>53</v>
      </c>
      <c r="G12" s="7" t="n">
        <v>3</v>
      </c>
      <c r="H12" s="4" t="s">
        <v>15</v>
      </c>
      <c r="I12" s="4"/>
      <c r="J12" s="6"/>
    </row>
    <row r="13" customFormat="false" ht="23.85" hidden="false" customHeight="false" outlineLevel="0" collapsed="false">
      <c r="A13" s="2" t="s">
        <v>54</v>
      </c>
      <c r="B13" s="8" t="s">
        <v>35</v>
      </c>
      <c r="C13" s="4" t="s">
        <v>55</v>
      </c>
      <c r="D13" s="5" t="n">
        <v>2</v>
      </c>
      <c r="E13" s="6" t="s">
        <v>56</v>
      </c>
      <c r="F13" s="6" t="s">
        <v>57</v>
      </c>
      <c r="G13" s="7" t="n">
        <v>3</v>
      </c>
      <c r="H13" s="4" t="s">
        <v>15</v>
      </c>
      <c r="I13" s="4"/>
      <c r="J13" s="6"/>
    </row>
    <row r="14" customFormat="false" ht="15" hidden="false" customHeight="false" outlineLevel="0" collapsed="false">
      <c r="A14" s="2" t="s">
        <v>58</v>
      </c>
      <c r="B14" s="8" t="s">
        <v>35</v>
      </c>
      <c r="C14" s="4" t="s">
        <v>40</v>
      </c>
      <c r="D14" s="5" t="n">
        <v>2</v>
      </c>
      <c r="E14" s="6" t="s">
        <v>59</v>
      </c>
      <c r="F14" s="6" t="s">
        <v>60</v>
      </c>
      <c r="G14" s="7" t="n">
        <v>3</v>
      </c>
      <c r="H14" s="4" t="s">
        <v>15</v>
      </c>
      <c r="I14" s="4"/>
      <c r="J14" s="6"/>
    </row>
    <row r="15" customFormat="false" ht="35.05" hidden="false" customHeight="false" outlineLevel="0" collapsed="false">
      <c r="A15" s="2" t="s">
        <v>61</v>
      </c>
      <c r="B15" s="8" t="s">
        <v>35</v>
      </c>
      <c r="C15" s="4" t="s">
        <v>62</v>
      </c>
      <c r="D15" s="5" t="n">
        <v>3</v>
      </c>
      <c r="E15" s="6" t="s">
        <v>63</v>
      </c>
      <c r="F15" s="6" t="s">
        <v>64</v>
      </c>
      <c r="G15" s="7" t="n">
        <v>3</v>
      </c>
      <c r="H15" s="4" t="s">
        <v>15</v>
      </c>
      <c r="I15" s="4"/>
      <c r="J15" s="6"/>
    </row>
    <row r="16" customFormat="false" ht="35.05" hidden="false" customHeight="false" outlineLevel="0" collapsed="false">
      <c r="A16" s="2" t="s">
        <v>65</v>
      </c>
      <c r="B16" s="8" t="s">
        <v>35</v>
      </c>
      <c r="C16" s="4" t="s">
        <v>66</v>
      </c>
      <c r="D16" s="5" t="n">
        <v>3</v>
      </c>
      <c r="E16" s="6" t="s">
        <v>67</v>
      </c>
      <c r="F16" s="6" t="s">
        <v>68</v>
      </c>
      <c r="G16" s="7" t="n">
        <v>3</v>
      </c>
      <c r="H16" s="4" t="s">
        <v>15</v>
      </c>
      <c r="I16" s="4"/>
      <c r="J16" s="6"/>
    </row>
    <row r="17" customFormat="false" ht="35.05" hidden="false" customHeight="false" outlineLevel="0" collapsed="false">
      <c r="A17" s="2" t="s">
        <v>69</v>
      </c>
      <c r="B17" s="8" t="s">
        <v>35</v>
      </c>
      <c r="C17" s="4" t="s">
        <v>66</v>
      </c>
      <c r="D17" s="5" t="n">
        <v>3</v>
      </c>
      <c r="E17" s="6" t="s">
        <v>70</v>
      </c>
      <c r="F17" s="6" t="s">
        <v>71</v>
      </c>
      <c r="G17" s="7" t="n">
        <v>3</v>
      </c>
      <c r="H17" s="4" t="s">
        <v>15</v>
      </c>
      <c r="I17" s="4"/>
      <c r="J17" s="6"/>
    </row>
    <row r="18" customFormat="false" ht="23.85" hidden="false" customHeight="false" outlineLevel="0" collapsed="false">
      <c r="A18" s="2" t="s">
        <v>72</v>
      </c>
      <c r="B18" s="9" t="s">
        <v>73</v>
      </c>
      <c r="C18" s="4" t="s">
        <v>62</v>
      </c>
      <c r="D18" s="5" t="n">
        <v>3</v>
      </c>
      <c r="E18" s="6" t="s">
        <v>74</v>
      </c>
      <c r="F18" s="6" t="s">
        <v>75</v>
      </c>
      <c r="G18" s="7" t="n">
        <v>2</v>
      </c>
      <c r="H18" s="4" t="s">
        <v>15</v>
      </c>
      <c r="I18" s="4"/>
      <c r="J18" s="6"/>
    </row>
    <row r="19" customFormat="false" ht="35.05" hidden="false" customHeight="false" outlineLevel="0" collapsed="false">
      <c r="A19" s="2" t="s">
        <v>76</v>
      </c>
      <c r="B19" s="9" t="s">
        <v>73</v>
      </c>
      <c r="C19" s="4" t="s">
        <v>66</v>
      </c>
      <c r="D19" s="5" t="n">
        <v>3</v>
      </c>
      <c r="E19" s="6" t="s">
        <v>77</v>
      </c>
      <c r="F19" s="6" t="s">
        <v>78</v>
      </c>
      <c r="G19" s="7" t="n">
        <v>2</v>
      </c>
      <c r="H19" s="4" t="s">
        <v>15</v>
      </c>
      <c r="I19" s="4"/>
      <c r="J19" s="6"/>
    </row>
    <row r="20" customFormat="false" ht="23.85" hidden="false" customHeight="false" outlineLevel="0" collapsed="false">
      <c r="A20" s="2" t="s">
        <v>79</v>
      </c>
      <c r="B20" s="9" t="s">
        <v>73</v>
      </c>
      <c r="C20" s="4" t="s">
        <v>80</v>
      </c>
      <c r="D20" s="5" t="n">
        <v>3</v>
      </c>
      <c r="E20" s="6" t="s">
        <v>81</v>
      </c>
      <c r="F20" s="6" t="s">
        <v>82</v>
      </c>
      <c r="G20" s="7" t="n">
        <v>1</v>
      </c>
      <c r="H20" s="4" t="s">
        <v>15</v>
      </c>
      <c r="I20" s="4"/>
      <c r="J20" s="6"/>
    </row>
    <row r="21" customFormat="false" ht="23.85" hidden="false" customHeight="false" outlineLevel="0" collapsed="false">
      <c r="A21" s="2" t="s">
        <v>83</v>
      </c>
      <c r="B21" s="9" t="s">
        <v>73</v>
      </c>
      <c r="C21" s="4" t="s">
        <v>51</v>
      </c>
      <c r="D21" s="5" t="n">
        <v>3</v>
      </c>
      <c r="E21" s="6" t="s">
        <v>84</v>
      </c>
      <c r="F21" s="6" t="s">
        <v>85</v>
      </c>
      <c r="G21" s="7" t="n">
        <v>2</v>
      </c>
      <c r="H21" s="4" t="s">
        <v>15</v>
      </c>
      <c r="I21" s="4"/>
      <c r="J21" s="6"/>
    </row>
    <row r="22" customFormat="false" ht="23.85" hidden="false" customHeight="false" outlineLevel="0" collapsed="false">
      <c r="A22" s="2" t="s">
        <v>86</v>
      </c>
      <c r="B22" s="9" t="s">
        <v>73</v>
      </c>
      <c r="C22" s="4" t="s">
        <v>51</v>
      </c>
      <c r="D22" s="5" t="n">
        <v>3</v>
      </c>
      <c r="E22" s="6" t="s">
        <v>87</v>
      </c>
      <c r="F22" s="6" t="s">
        <v>88</v>
      </c>
      <c r="G22" s="7" t="n">
        <v>0.5</v>
      </c>
      <c r="H22" s="4" t="s">
        <v>15</v>
      </c>
      <c r="I22" s="4"/>
      <c r="J22" s="6"/>
    </row>
    <row r="23" customFormat="false" ht="23.85" hidden="false" customHeight="false" outlineLevel="0" collapsed="false">
      <c r="A23" s="2" t="s">
        <v>89</v>
      </c>
      <c r="B23" s="9" t="s">
        <v>73</v>
      </c>
      <c r="C23" s="4" t="s">
        <v>12</v>
      </c>
      <c r="D23" s="5" t="n">
        <v>4</v>
      </c>
      <c r="E23" s="6" t="s">
        <v>90</v>
      </c>
      <c r="F23" s="6" t="s">
        <v>91</v>
      </c>
      <c r="G23" s="7" t="n">
        <v>8</v>
      </c>
      <c r="H23" s="4" t="s">
        <v>15</v>
      </c>
      <c r="I23" s="4"/>
      <c r="J23" s="6"/>
    </row>
    <row r="24" customFormat="false" ht="23.85" hidden="false" customHeight="false" outlineLevel="0" collapsed="false">
      <c r="A24" s="2" t="s">
        <v>92</v>
      </c>
      <c r="B24" s="9" t="s">
        <v>73</v>
      </c>
      <c r="C24" s="4" t="s">
        <v>93</v>
      </c>
      <c r="D24" s="5" t="n">
        <v>4</v>
      </c>
      <c r="E24" s="6" t="s">
        <v>94</v>
      </c>
      <c r="F24" s="6" t="s">
        <v>95</v>
      </c>
      <c r="G24" s="7" t="n">
        <v>16</v>
      </c>
      <c r="H24" s="4" t="s">
        <v>15</v>
      </c>
      <c r="I24" s="4"/>
      <c r="J24" s="6"/>
    </row>
    <row r="25" customFormat="false" ht="35.05" hidden="false" customHeight="false" outlineLevel="0" collapsed="false">
      <c r="A25" s="2" t="s">
        <v>96</v>
      </c>
      <c r="B25" s="9" t="s">
        <v>73</v>
      </c>
      <c r="C25" s="4" t="s">
        <v>97</v>
      </c>
      <c r="D25" s="5" t="n">
        <v>4</v>
      </c>
      <c r="E25" s="6" t="s">
        <v>98</v>
      </c>
      <c r="F25" s="6" t="s">
        <v>99</v>
      </c>
      <c r="G25" s="7" t="n">
        <v>4</v>
      </c>
      <c r="H25" s="4" t="s">
        <v>15</v>
      </c>
      <c r="I25" s="4"/>
      <c r="J25" s="6"/>
    </row>
    <row r="26" customFormat="false" ht="35.05" hidden="false" customHeight="false" outlineLevel="0" collapsed="false">
      <c r="A26" s="2" t="s">
        <v>100</v>
      </c>
      <c r="B26" s="9" t="s">
        <v>73</v>
      </c>
      <c r="C26" s="4" t="s">
        <v>36</v>
      </c>
      <c r="D26" s="5" t="n">
        <v>4</v>
      </c>
      <c r="E26" s="6" t="s">
        <v>101</v>
      </c>
      <c r="F26" s="6" t="s">
        <v>102</v>
      </c>
      <c r="G26" s="7" t="n">
        <v>4</v>
      </c>
      <c r="H26" s="4" t="s">
        <v>15</v>
      </c>
      <c r="I26" s="4"/>
      <c r="J26" s="6"/>
    </row>
    <row r="27" customFormat="false" ht="35.05" hidden="false" customHeight="false" outlineLevel="0" collapsed="false">
      <c r="A27" s="2" t="s">
        <v>103</v>
      </c>
      <c r="B27" s="9" t="s">
        <v>73</v>
      </c>
      <c r="C27" s="4" t="s">
        <v>104</v>
      </c>
      <c r="D27" s="5" t="n">
        <v>4</v>
      </c>
      <c r="E27" s="6" t="s">
        <v>105</v>
      </c>
      <c r="F27" s="6" t="s">
        <v>106</v>
      </c>
      <c r="G27" s="7" t="n">
        <v>8</v>
      </c>
      <c r="H27" s="4" t="s">
        <v>15</v>
      </c>
      <c r="I27" s="4"/>
      <c r="J27" s="6"/>
    </row>
    <row r="28" customFormat="false" ht="35.05" hidden="false" customHeight="false" outlineLevel="0" collapsed="false">
      <c r="A28" s="2" t="s">
        <v>107</v>
      </c>
      <c r="B28" s="9" t="s">
        <v>73</v>
      </c>
      <c r="C28" s="4" t="s">
        <v>104</v>
      </c>
      <c r="D28" s="5" t="n">
        <v>4</v>
      </c>
      <c r="E28" s="6" t="s">
        <v>108</v>
      </c>
      <c r="F28" s="6" t="s">
        <v>109</v>
      </c>
      <c r="G28" s="7" t="n">
        <v>6</v>
      </c>
      <c r="H28" s="4" t="s">
        <v>15</v>
      </c>
      <c r="I28" s="4"/>
      <c r="J28" s="6"/>
    </row>
    <row r="29" customFormat="false" ht="35.05" hidden="false" customHeight="false" outlineLevel="0" collapsed="false">
      <c r="A29" s="2" t="s">
        <v>110</v>
      </c>
      <c r="B29" s="9" t="s">
        <v>73</v>
      </c>
      <c r="C29" s="4" t="s">
        <v>24</v>
      </c>
      <c r="D29" s="5" t="n">
        <v>4</v>
      </c>
      <c r="E29" s="6" t="s">
        <v>111</v>
      </c>
      <c r="F29" s="6" t="s">
        <v>112</v>
      </c>
      <c r="G29" s="7" t="n">
        <v>2</v>
      </c>
      <c r="H29" s="4" t="s">
        <v>15</v>
      </c>
      <c r="I29" s="4"/>
      <c r="J29" s="6"/>
    </row>
    <row r="30" customFormat="false" ht="23.85" hidden="false" customHeight="false" outlineLevel="0" collapsed="false">
      <c r="A30" s="2" t="s">
        <v>113</v>
      </c>
      <c r="B30" s="9" t="s">
        <v>73</v>
      </c>
      <c r="C30" s="4" t="s">
        <v>24</v>
      </c>
      <c r="D30" s="5" t="n">
        <v>4</v>
      </c>
      <c r="E30" s="6" t="s">
        <v>114</v>
      </c>
      <c r="F30" s="6" t="s">
        <v>115</v>
      </c>
      <c r="G30" s="7" t="n">
        <v>2</v>
      </c>
      <c r="H30" s="4" t="s">
        <v>15</v>
      </c>
      <c r="I30" s="4"/>
      <c r="J30" s="6"/>
    </row>
    <row r="32" customFormat="false" ht="15" hidden="false" customHeight="false" outlineLevel="0" collapsed="false">
      <c r="E32" s="10" t="s">
        <v>116</v>
      </c>
      <c r="G32" s="11" t="n">
        <f aca="false">SUM(G2:G30)</f>
        <v>93.5</v>
      </c>
    </row>
    <row r="33" customFormat="false" ht="15" hidden="false" customHeight="false" outlineLevel="0" collapsed="false">
      <c r="E33" s="10" t="s">
        <v>117</v>
      </c>
      <c r="G33" s="10" t="n">
        <f aca="false">COUNTIF(H2:H30,"Готово")</f>
        <v>0</v>
      </c>
    </row>
  </sheetData>
  <autoFilter ref="A1:J30"/>
  <dataValidations count="1">
    <dataValidation allowBlank="true" errorStyle="stop" operator="between" showDropDown="false" showErrorMessage="false" showInputMessage="false" sqref="H2:H30" type="list">
      <formula1>"Не начато,В работе,На проверке,Готово,Отклонено"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12" t="s">
        <v>118</v>
      </c>
      <c r="B1" s="12" t="s">
        <v>119</v>
      </c>
      <c r="C1" s="12" t="s">
        <v>120</v>
      </c>
      <c r="D1" s="12" t="s">
        <v>121</v>
      </c>
    </row>
    <row r="2" customFormat="false" ht="15" hidden="false" customHeight="false" outlineLevel="0" collapsed="false">
      <c r="A2" s="13" t="s">
        <v>122</v>
      </c>
      <c r="B2" s="14" t="s">
        <v>123</v>
      </c>
      <c r="C2" s="13" t="s">
        <v>124</v>
      </c>
      <c r="D2" s="13" t="s">
        <v>125</v>
      </c>
    </row>
    <row r="3" customFormat="false" ht="15" hidden="false" customHeight="false" outlineLevel="0" collapsed="false">
      <c r="A3" s="13" t="s">
        <v>126</v>
      </c>
      <c r="B3" s="14" t="s">
        <v>123</v>
      </c>
      <c r="C3" s="13" t="s">
        <v>127</v>
      </c>
      <c r="D3" s="13" t="s">
        <v>128</v>
      </c>
    </row>
    <row r="4" customFormat="false" ht="15" hidden="false" customHeight="false" outlineLevel="0" collapsed="false">
      <c r="A4" s="13" t="s">
        <v>129</v>
      </c>
      <c r="B4" s="15" t="s">
        <v>130</v>
      </c>
      <c r="C4" s="13" t="s">
        <v>127</v>
      </c>
      <c r="D4" s="13" t="s">
        <v>131</v>
      </c>
    </row>
    <row r="5" customFormat="false" ht="15" hidden="false" customHeight="false" outlineLevel="0" collapsed="false">
      <c r="A5" s="13" t="s">
        <v>132</v>
      </c>
      <c r="B5" s="15" t="s">
        <v>133</v>
      </c>
      <c r="C5" s="13" t="s">
        <v>127</v>
      </c>
      <c r="D5" s="13" t="s">
        <v>134</v>
      </c>
    </row>
    <row r="6" customFormat="false" ht="15" hidden="false" customHeight="false" outlineLevel="0" collapsed="false">
      <c r="A6" s="13" t="s">
        <v>135</v>
      </c>
      <c r="B6" s="16" t="s">
        <v>136</v>
      </c>
      <c r="C6" s="13" t="s">
        <v>127</v>
      </c>
      <c r="D6" s="13" t="s">
        <v>137</v>
      </c>
    </row>
    <row r="7" customFormat="false" ht="15" hidden="false" customHeight="false" outlineLevel="0" collapsed="false">
      <c r="A7" s="13" t="s">
        <v>138</v>
      </c>
      <c r="B7" s="16" t="s">
        <v>139</v>
      </c>
      <c r="C7" s="13" t="s">
        <v>127</v>
      </c>
      <c r="D7" s="13" t="s">
        <v>140</v>
      </c>
    </row>
    <row r="8" customFormat="false" ht="15" hidden="false" customHeight="false" outlineLevel="0" collapsed="false">
      <c r="A8" s="13" t="s">
        <v>141</v>
      </c>
      <c r="B8" s="14" t="s">
        <v>123</v>
      </c>
      <c r="C8" s="13" t="s">
        <v>142</v>
      </c>
      <c r="D8" s="13" t="s">
        <v>143</v>
      </c>
    </row>
    <row r="10" customFormat="false" ht="15" hidden="false" customHeight="false" outlineLevel="0" collapsed="false">
      <c r="A10" s="17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5" hidden="false" customHeight="false" outlineLevel="0" collapsed="false">
      <c r="A1" s="12" t="s">
        <v>145</v>
      </c>
    </row>
    <row r="2" customFormat="false" ht="15" hidden="false" customHeight="false" outlineLevel="0" collapsed="false">
      <c r="A2" s="13" t="s">
        <v>146</v>
      </c>
    </row>
    <row r="3" customFormat="false" ht="15" hidden="false" customHeight="false" outlineLevel="0" collapsed="false">
      <c r="A3" s="13" t="s">
        <v>147</v>
      </c>
    </row>
    <row r="4" customFormat="false" ht="15" hidden="false" customHeight="false" outlineLevel="0" collapsed="false">
      <c r="A4" s="13" t="s">
        <v>148</v>
      </c>
    </row>
    <row r="5" customFormat="false" ht="15" hidden="false" customHeight="false" outlineLevel="0" collapsed="false">
      <c r="A5" s="13" t="s">
        <v>149</v>
      </c>
    </row>
    <row r="6" customFormat="false" ht="15" hidden="false" customHeight="false" outlineLevel="0" collapsed="false">
      <c r="A6" s="13" t="s">
        <v>150</v>
      </c>
    </row>
    <row r="7" customFormat="false" ht="15" hidden="false" customHeight="false" outlineLevel="0" collapsed="false">
      <c r="A7" s="13" t="s">
        <v>151</v>
      </c>
    </row>
    <row r="8" customFormat="false" ht="15" hidden="false" customHeight="false" outlineLevel="0" collapsed="false">
      <c r="A8" s="13" t="s">
        <v>152</v>
      </c>
    </row>
    <row r="9" customFormat="false" ht="15" hidden="false" customHeight="false" outlineLevel="0" collapsed="false">
      <c r="A9" s="13" t="s">
        <v>153</v>
      </c>
    </row>
    <row r="10" customFormat="false" ht="15" hidden="false" customHeight="false" outlineLevel="0" collapsed="false">
      <c r="A10" s="13" t="s">
        <v>154</v>
      </c>
    </row>
    <row r="11" customFormat="false" ht="15" hidden="false" customHeight="false" outlineLevel="0" collapsed="false">
      <c r="A11" s="13" t="s">
        <v>155</v>
      </c>
    </row>
    <row r="12" customFormat="false" ht="15" hidden="false" customHeight="false" outlineLevel="0" collapsed="false">
      <c r="A12" s="13" t="s">
        <v>156</v>
      </c>
    </row>
    <row r="13" customFormat="false" ht="15" hidden="false" customHeight="false" outlineLevel="0" collapsed="false">
      <c r="A13" s="13" t="s">
        <v>157</v>
      </c>
    </row>
    <row r="14" customFormat="false" ht="15" hidden="false" customHeight="false" outlineLevel="0" collapsed="false">
      <c r="A14" s="13" t="s">
        <v>158</v>
      </c>
    </row>
    <row r="15" customFormat="false" ht="15" hidden="false" customHeight="false" outlineLevel="0" collapsed="false">
      <c r="A15" s="13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2026-09-14T07:49:40Z</dcterms:created>
  <dc:creator>openpyxl</dc:creator>
  <dc:description/>
  <dc:language>en-US</dc:language>
  <cp:lastModifiedBy/>
  <dcterms:modified xsi:type="dcterms:W3CDTF">2026-09-14T07:49:40Z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